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jeffpeduto/Documents/Peduto Enterprises Inc./ERA group/Customer Documentation/Customer Prospecting Docs etc/"/>
    </mc:Choice>
  </mc:AlternateContent>
  <xr:revisionPtr revIDLastSave="0" documentId="8_{D2C3D8AD-C704-8448-A115-7CF496ABFE14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Outreach Targets" sheetId="1" r:id="rId1"/>
    <sheet name="Excluded Compani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8" i="2" l="1"/>
  <c r="N158" i="2" s="1"/>
  <c r="K157" i="2"/>
  <c r="N157" i="2" s="1"/>
  <c r="K156" i="2"/>
  <c r="N156" i="2" s="1"/>
  <c r="K155" i="2"/>
  <c r="N155" i="2" s="1"/>
  <c r="K154" i="2"/>
  <c r="N154" i="2" s="1"/>
  <c r="K153" i="2"/>
  <c r="N153" i="2" s="1"/>
  <c r="K152" i="2"/>
  <c r="N152" i="2" s="1"/>
  <c r="K151" i="2"/>
  <c r="N151" i="2" s="1"/>
  <c r="K150" i="2"/>
  <c r="N150" i="2" s="1"/>
  <c r="K149" i="2"/>
  <c r="N149" i="2" s="1"/>
  <c r="K148" i="2"/>
  <c r="N148" i="2" s="1"/>
  <c r="K147" i="2"/>
  <c r="N147" i="2" s="1"/>
  <c r="K146" i="2"/>
  <c r="N146" i="2" s="1"/>
  <c r="K145" i="2"/>
  <c r="N145" i="2" s="1"/>
  <c r="K144" i="2"/>
  <c r="N144" i="2" s="1"/>
  <c r="K143" i="2"/>
  <c r="N143" i="2" s="1"/>
  <c r="K142" i="2"/>
  <c r="N142" i="2" s="1"/>
  <c r="K141" i="2"/>
  <c r="N141" i="2" s="1"/>
  <c r="K140" i="2"/>
  <c r="N140" i="2" s="1"/>
  <c r="K139" i="2"/>
  <c r="N139" i="2" s="1"/>
  <c r="K138" i="2"/>
  <c r="N138" i="2" s="1"/>
  <c r="K137" i="2"/>
  <c r="N137" i="2" s="1"/>
  <c r="K136" i="2"/>
  <c r="N136" i="2" s="1"/>
  <c r="K135" i="2"/>
  <c r="N135" i="2" s="1"/>
  <c r="K134" i="2"/>
  <c r="N134" i="2" s="1"/>
  <c r="K133" i="2"/>
  <c r="N133" i="2" s="1"/>
  <c r="K132" i="2"/>
  <c r="N132" i="2" s="1"/>
  <c r="K131" i="2"/>
  <c r="N131" i="2" s="1"/>
  <c r="K130" i="2"/>
  <c r="N130" i="2" s="1"/>
  <c r="K129" i="2"/>
  <c r="N129" i="2" s="1"/>
  <c r="K128" i="2"/>
  <c r="N128" i="2" s="1"/>
  <c r="K127" i="2"/>
  <c r="N127" i="2" s="1"/>
  <c r="K126" i="2"/>
  <c r="N126" i="2" s="1"/>
  <c r="K125" i="2"/>
  <c r="N125" i="2" s="1"/>
  <c r="K124" i="2"/>
  <c r="N124" i="2" s="1"/>
  <c r="K123" i="2"/>
  <c r="N123" i="2" s="1"/>
  <c r="K122" i="2"/>
  <c r="N122" i="2" s="1"/>
  <c r="K121" i="2"/>
  <c r="N121" i="2" s="1"/>
  <c r="K120" i="2"/>
  <c r="N120" i="2" s="1"/>
  <c r="K119" i="2"/>
  <c r="N119" i="2" s="1"/>
  <c r="K118" i="2"/>
  <c r="N118" i="2" s="1"/>
  <c r="K117" i="2"/>
  <c r="N117" i="2" s="1"/>
  <c r="K116" i="2"/>
  <c r="N116" i="2" s="1"/>
  <c r="K115" i="2"/>
  <c r="N115" i="2" s="1"/>
  <c r="K114" i="2"/>
  <c r="N114" i="2" s="1"/>
  <c r="K113" i="2"/>
  <c r="N113" i="2" s="1"/>
  <c r="K112" i="2"/>
  <c r="N112" i="2" s="1"/>
  <c r="K111" i="2"/>
  <c r="N111" i="2" s="1"/>
  <c r="K110" i="2"/>
  <c r="N110" i="2" s="1"/>
  <c r="K109" i="2"/>
  <c r="N109" i="2" s="1"/>
  <c r="K108" i="2"/>
  <c r="N108" i="2" s="1"/>
  <c r="K107" i="2"/>
  <c r="N107" i="2" s="1"/>
  <c r="K106" i="2"/>
  <c r="N106" i="2" s="1"/>
  <c r="K105" i="2"/>
  <c r="N105" i="2" s="1"/>
  <c r="K104" i="2"/>
  <c r="N104" i="2" s="1"/>
  <c r="K103" i="2"/>
  <c r="N103" i="2" s="1"/>
  <c r="K102" i="2"/>
  <c r="N102" i="2" s="1"/>
  <c r="K101" i="2"/>
  <c r="N101" i="2" s="1"/>
  <c r="K100" i="2"/>
  <c r="N100" i="2" s="1"/>
  <c r="K99" i="2"/>
  <c r="N99" i="2" s="1"/>
  <c r="K98" i="2"/>
  <c r="N98" i="2" s="1"/>
  <c r="K97" i="2"/>
  <c r="N97" i="2" s="1"/>
  <c r="K96" i="2"/>
  <c r="N96" i="2" s="1"/>
  <c r="K95" i="2"/>
  <c r="N95" i="2" s="1"/>
  <c r="K94" i="2"/>
  <c r="N94" i="2" s="1"/>
  <c r="K93" i="2"/>
  <c r="N93" i="2" s="1"/>
  <c r="K92" i="2"/>
  <c r="N92" i="2" s="1"/>
  <c r="K91" i="2"/>
  <c r="N91" i="2" s="1"/>
  <c r="K90" i="2"/>
  <c r="N90" i="2" s="1"/>
  <c r="K89" i="2"/>
  <c r="N89" i="2" s="1"/>
  <c r="K88" i="2"/>
  <c r="N88" i="2" s="1"/>
  <c r="K87" i="2"/>
  <c r="N87" i="2" s="1"/>
  <c r="K86" i="2"/>
  <c r="N86" i="2" s="1"/>
  <c r="K85" i="2"/>
  <c r="N85" i="2" s="1"/>
  <c r="K84" i="2"/>
  <c r="N84" i="2" s="1"/>
  <c r="K83" i="2"/>
  <c r="N83" i="2" s="1"/>
  <c r="K82" i="2"/>
  <c r="N82" i="2" s="1"/>
  <c r="K81" i="2"/>
  <c r="N81" i="2" s="1"/>
  <c r="K80" i="2"/>
  <c r="N80" i="2" s="1"/>
  <c r="K79" i="2"/>
  <c r="N79" i="2" s="1"/>
  <c r="K78" i="2"/>
  <c r="N78" i="2" s="1"/>
  <c r="K77" i="2"/>
  <c r="N77" i="2" s="1"/>
  <c r="K76" i="2"/>
  <c r="N76" i="2" s="1"/>
  <c r="K75" i="2"/>
  <c r="N75" i="2" s="1"/>
  <c r="K74" i="2"/>
  <c r="N74" i="2" s="1"/>
  <c r="K73" i="2"/>
  <c r="N73" i="2" s="1"/>
  <c r="K72" i="2"/>
  <c r="N72" i="2" s="1"/>
  <c r="K71" i="2"/>
  <c r="N71" i="2" s="1"/>
  <c r="K70" i="2"/>
  <c r="N70" i="2" s="1"/>
  <c r="K69" i="2"/>
  <c r="N69" i="2" s="1"/>
  <c r="K68" i="2"/>
  <c r="N68" i="2" s="1"/>
  <c r="K67" i="2"/>
  <c r="N67" i="2" s="1"/>
  <c r="K66" i="2"/>
  <c r="N66" i="2" s="1"/>
  <c r="K65" i="2"/>
  <c r="N65" i="2" s="1"/>
  <c r="K64" i="2"/>
  <c r="N64" i="2" s="1"/>
  <c r="K63" i="2"/>
  <c r="N63" i="2" s="1"/>
  <c r="K62" i="2"/>
  <c r="N62" i="2" s="1"/>
  <c r="K61" i="2"/>
  <c r="N61" i="2" s="1"/>
  <c r="K60" i="2"/>
  <c r="N60" i="2" s="1"/>
  <c r="K59" i="2"/>
  <c r="N59" i="2" s="1"/>
  <c r="K58" i="2"/>
  <c r="N58" i="2" s="1"/>
  <c r="K57" i="2"/>
  <c r="N57" i="2" s="1"/>
  <c r="K56" i="2"/>
  <c r="N56" i="2" s="1"/>
  <c r="K55" i="2"/>
  <c r="N55" i="2" s="1"/>
  <c r="K54" i="2"/>
  <c r="N54" i="2" s="1"/>
  <c r="K53" i="2"/>
  <c r="N53" i="2" s="1"/>
  <c r="K52" i="2"/>
  <c r="N52" i="2" s="1"/>
  <c r="K51" i="2"/>
  <c r="N51" i="2" s="1"/>
  <c r="K50" i="2"/>
  <c r="N50" i="2" s="1"/>
  <c r="K49" i="2"/>
  <c r="N49" i="2" s="1"/>
  <c r="K48" i="2"/>
  <c r="N48" i="2" s="1"/>
  <c r="K47" i="2"/>
  <c r="N47" i="2" s="1"/>
  <c r="K46" i="2"/>
  <c r="N46" i="2" s="1"/>
  <c r="K45" i="2"/>
  <c r="N45" i="2" s="1"/>
  <c r="K44" i="2"/>
  <c r="N44" i="2" s="1"/>
  <c r="K43" i="2"/>
  <c r="N43" i="2" s="1"/>
  <c r="K42" i="2"/>
  <c r="N42" i="2" s="1"/>
  <c r="K41" i="2"/>
  <c r="N41" i="2" s="1"/>
  <c r="K40" i="2"/>
  <c r="N40" i="2" s="1"/>
  <c r="K39" i="2"/>
  <c r="N39" i="2" s="1"/>
  <c r="K38" i="2"/>
  <c r="N38" i="2" s="1"/>
  <c r="K37" i="2"/>
  <c r="N37" i="2" s="1"/>
  <c r="K36" i="2"/>
  <c r="N36" i="2" s="1"/>
  <c r="K35" i="2"/>
  <c r="N35" i="2" s="1"/>
  <c r="K34" i="2"/>
  <c r="N34" i="2" s="1"/>
  <c r="K33" i="2"/>
  <c r="N33" i="2" s="1"/>
  <c r="K32" i="2"/>
  <c r="N32" i="2" s="1"/>
  <c r="K31" i="2"/>
  <c r="N31" i="2" s="1"/>
  <c r="K30" i="2"/>
  <c r="N30" i="2" s="1"/>
  <c r="K29" i="2"/>
  <c r="N29" i="2" s="1"/>
  <c r="K28" i="2"/>
  <c r="N28" i="2" s="1"/>
  <c r="K27" i="2"/>
  <c r="N27" i="2" s="1"/>
  <c r="K26" i="2"/>
  <c r="N26" i="2" s="1"/>
  <c r="K25" i="2"/>
  <c r="N25" i="2" s="1"/>
  <c r="K24" i="2"/>
  <c r="N24" i="2" s="1"/>
  <c r="K23" i="2"/>
  <c r="N23" i="2" s="1"/>
  <c r="K22" i="2"/>
  <c r="N22" i="2" s="1"/>
  <c r="K21" i="2"/>
  <c r="N21" i="2" s="1"/>
  <c r="K20" i="2"/>
  <c r="N20" i="2" s="1"/>
  <c r="K19" i="2"/>
  <c r="N19" i="2" s="1"/>
  <c r="K18" i="2"/>
  <c r="N18" i="2" s="1"/>
  <c r="K17" i="2"/>
  <c r="N17" i="2" s="1"/>
  <c r="K16" i="2"/>
  <c r="N16" i="2" s="1"/>
  <c r="K15" i="2"/>
  <c r="N15" i="2" s="1"/>
  <c r="K14" i="2"/>
  <c r="N14" i="2" s="1"/>
  <c r="K13" i="2"/>
  <c r="N13" i="2" s="1"/>
  <c r="K12" i="2"/>
  <c r="N12" i="2" s="1"/>
  <c r="K11" i="2"/>
  <c r="N11" i="2" s="1"/>
  <c r="K10" i="2"/>
  <c r="N10" i="2" s="1"/>
  <c r="K9" i="2"/>
  <c r="N9" i="2" s="1"/>
  <c r="K8" i="2"/>
  <c r="N8" i="2" s="1"/>
  <c r="K7" i="2"/>
  <c r="N7" i="2" s="1"/>
  <c r="K6" i="2"/>
  <c r="N6" i="2" s="1"/>
  <c r="K42" i="1"/>
  <c r="N42" i="1" s="1"/>
  <c r="K41" i="1"/>
  <c r="N41" i="1" s="1"/>
  <c r="K40" i="1"/>
  <c r="N40" i="1" s="1"/>
  <c r="K39" i="1"/>
  <c r="N39" i="1" s="1"/>
  <c r="K38" i="1"/>
  <c r="N38" i="1" s="1"/>
  <c r="K37" i="1"/>
  <c r="N37" i="1" s="1"/>
  <c r="K36" i="1"/>
  <c r="N36" i="1" s="1"/>
  <c r="K35" i="1"/>
  <c r="N35" i="1" s="1"/>
  <c r="K34" i="1"/>
  <c r="N34" i="1" s="1"/>
  <c r="K33" i="1"/>
  <c r="N33" i="1" s="1"/>
  <c r="K32" i="1"/>
  <c r="N32" i="1" s="1"/>
  <c r="K31" i="1"/>
  <c r="N31" i="1" s="1"/>
  <c r="K30" i="1"/>
  <c r="N30" i="1" s="1"/>
  <c r="K29" i="1"/>
  <c r="N29" i="1" s="1"/>
  <c r="K28" i="1"/>
  <c r="N28" i="1" s="1"/>
  <c r="K27" i="1"/>
  <c r="N27" i="1" s="1"/>
  <c r="K26" i="1"/>
  <c r="N26" i="1" s="1"/>
  <c r="K25" i="1"/>
  <c r="N25" i="1" s="1"/>
  <c r="K24" i="1"/>
  <c r="N24" i="1" s="1"/>
  <c r="K23" i="1"/>
  <c r="N23" i="1" s="1"/>
  <c r="K22" i="1"/>
  <c r="N22" i="1" s="1"/>
  <c r="K21" i="1"/>
  <c r="N21" i="1" s="1"/>
  <c r="K20" i="1"/>
  <c r="N20" i="1" s="1"/>
  <c r="K19" i="1"/>
  <c r="N19" i="1" s="1"/>
  <c r="K18" i="1"/>
  <c r="N18" i="1" s="1"/>
  <c r="K17" i="1"/>
  <c r="N17" i="1" s="1"/>
  <c r="K16" i="1"/>
  <c r="N16" i="1" s="1"/>
  <c r="K15" i="1"/>
  <c r="N15" i="1" s="1"/>
  <c r="K14" i="1"/>
  <c r="N14" i="1" s="1"/>
  <c r="K13" i="1"/>
  <c r="N13" i="1" s="1"/>
  <c r="K12" i="1"/>
  <c r="N12" i="1" s="1"/>
  <c r="K11" i="1"/>
  <c r="N11" i="1" s="1"/>
  <c r="K10" i="1"/>
  <c r="N10" i="1" s="1"/>
  <c r="K9" i="1"/>
  <c r="N9" i="1" s="1"/>
  <c r="K8" i="1"/>
  <c r="N8" i="1" s="1"/>
  <c r="K7" i="1"/>
  <c r="N7" i="1" s="1"/>
  <c r="K6" i="1"/>
  <c r="N6" i="1" s="1"/>
</calcChain>
</file>

<file path=xl/sharedStrings.xml><?xml version="1.0" encoding="utf-8"?>
<sst xmlns="http://schemas.openxmlformats.org/spreadsheetml/2006/main" count="1710" uniqueCount="805">
  <si>
    <t>ERA ZoomInfo Intent — Recommended Outreach Targets</t>
  </si>
  <si>
    <t>Only organizations headquartered inside the stated ERA territory, not known to be tagged by another ERA consultant, and meeting the $15M annual revenue / operating-scale threshold.</t>
  </si>
  <si>
    <t>Method note: screenshot pixels were not present in the archived conversation export. Names and recoverable scores/topics were reconstructed from the prior screenshot summaries. Headquarters were checked as of 2026-08-05. Territory = CT, RI, MA, and Putnam, Dutchess, Orange, Rockland, or Ulster counties in NY. The $15M screen uses reported revenue/expenses or public operating budgets when available; private-company figures are labeled estimates and confidence-rated.</t>
  </si>
  <si>
    <t>Recommended companies</t>
  </si>
  <si>
    <t>Revenue threshold</t>
  </si>
  <si>
    <t>Prepared</t>
  </si>
  <si>
    <t>2026-08-05</t>
  </si>
  <si>
    <t>Sort order</t>
  </si>
  <si>
    <t>Intent score desc., then company</t>
  </si>
  <si>
    <t>Company</t>
  </si>
  <si>
    <t>HQ City</t>
  </si>
  <si>
    <t>HQ State</t>
  </si>
  <si>
    <t>Industry</t>
  </si>
  <si>
    <t>Intent Topics Seen</t>
  </si>
  <si>
    <t>Highest Intent Score Seen</t>
  </si>
  <si>
    <t>Annual Revenue / Operating Scale (USD)</t>
  </si>
  <si>
    <t>Financial Basis</t>
  </si>
  <si>
    <t>Financial Year</t>
  </si>
  <si>
    <t>Revenue Confidence</t>
  </si>
  <si>
    <t>Meets $15M Threshold (Y/N)</t>
  </si>
  <si>
    <t>In Territory (Y/N)</t>
  </si>
  <si>
    <t>Exclusion Reason (if excluded)</t>
  </si>
  <si>
    <t>Recommended for Outreach (Y/N)</t>
  </si>
  <si>
    <t>HQ / Industry Source</t>
  </si>
  <si>
    <t>Revenue Source</t>
  </si>
  <si>
    <t>Franciscan Friars of the Atonement</t>
  </si>
  <si>
    <t>Garrison</t>
  </si>
  <si>
    <t>NY</t>
  </si>
  <si>
    <t>Religious nonprofit</t>
  </si>
  <si>
    <t>Cost-related intent observed; exact topic-to-company mapping not recoverable</t>
  </si>
  <si>
    <t>Estimated revenue from 417 employees × $92.7K per employee; religious order is Form 990-exempt</t>
  </si>
  <si>
    <t>Current estimate</t>
  </si>
  <si>
    <t>Low</t>
  </si>
  <si>
    <t>Y</t>
  </si>
  <si>
    <t>https://www.atonementfriars.org/stewardship-information/</t>
  </si>
  <si>
    <t>https://www.owler.com/company/atonementfriars</t>
  </si>
  <si>
    <t>Mearthane Products</t>
  </si>
  <si>
    <t>Cranston</t>
  </si>
  <si>
    <t>RI</t>
  </si>
  <si>
    <t>Polyurethane and plastics manufacturing</t>
  </si>
  <si>
    <t>Cost Optimization / Cost Intelligence / Cost Control / Supplier Management batch</t>
  </si>
  <si>
    <t>Estimated annual revenue (midpoint of $10M-$50M range)</t>
  </si>
  <si>
    <t>https://www.linkedin.com/company/mearthane-products-corporation</t>
  </si>
  <si>
    <t>https://www.levels.fyi/companies/mearthane-products</t>
  </si>
  <si>
    <t>Roger Williams University</t>
  </si>
  <si>
    <t>Bristol</t>
  </si>
  <si>
    <t>Higher education</t>
  </si>
  <si>
    <t>Reported revenue (Form 990)</t>
  </si>
  <si>
    <t>High</t>
  </si>
  <si>
    <t>https://www.rwu.edu/contact-rwu</t>
  </si>
  <si>
    <t>https://projects.propublica.org/nonprofits/organizations/50277222</t>
  </si>
  <si>
    <t>Greystone</t>
  </si>
  <si>
    <t>Lincoln</t>
  </si>
  <si>
    <t>Precision manufacturing</t>
  </si>
  <si>
    <t>Estimated annual sales</t>
  </si>
  <si>
    <t>Medium</t>
  </si>
  <si>
    <t>https://www.linkedin.com/company/greystone-of-virginia</t>
  </si>
  <si>
    <t>https://www.naics.com/company-profile-page/?co=4660</t>
  </si>
  <si>
    <t>Rhode Island College</t>
  </si>
  <si>
    <t>Providence</t>
  </si>
  <si>
    <t>Supplier Management / cost-related intent</t>
  </si>
  <si>
    <t>Reported state appropriation; conservative minimum operating scale</t>
  </si>
  <si>
    <t>https://www.ric.edu/contact-us</t>
  </si>
  <si>
    <t>https://our.ric.edu/documents/fiscal-year-2024-financial-statements</t>
  </si>
  <si>
    <t>LIMRA</t>
  </si>
  <si>
    <t>Windsor</t>
  </si>
  <si>
    <t>CT</t>
  </si>
  <si>
    <t>Financial-services research and trade association</t>
  </si>
  <si>
    <t>Reported revenue (Form 990; legal entity LL Global)</t>
  </si>
  <si>
    <t>https://www.limra.com/en/about/company/global-team/</t>
  </si>
  <si>
    <t>https://projects.propublica.org/nonprofits/organizations/261339203</t>
  </si>
  <si>
    <t>ROMTech</t>
  </si>
  <si>
    <t>Brookfield</t>
  </si>
  <si>
    <t>Medical technology / orthopedic rehabilitation devices</t>
  </si>
  <si>
    <t>Cost Intelligence / cost-related intent</t>
  </si>
  <si>
    <t>Estimated revenue from 600 employees × $250K medtech benchmark</t>
  </si>
  <si>
    <t>https://romtech.com/contact-us/</t>
  </si>
  <si>
    <t>https://romtech.com/press-release/romtech-headquarters-welcomes-local-and-state-leaders-for-informative-tour-and-roundtable-discussion/</t>
  </si>
  <si>
    <t>Community Solutions</t>
  </si>
  <si>
    <t>Human services / behavioral health nonprofit</t>
  </si>
  <si>
    <t>https://csi-online.org/wp-content/uploads/2024/05/2022-Annual-Report.pdf</t>
  </si>
  <si>
    <t>https://projects.propublica.org/nonprofits/organizations/61580562</t>
  </si>
  <si>
    <t>Progressive Specialty Glass</t>
  </si>
  <si>
    <t>Plainville</t>
  </si>
  <si>
    <t>Customized drinkware / specialty glass wholesale</t>
  </si>
  <si>
    <t>Expense Reduction</t>
  </si>
  <si>
    <t>Estimated annual revenue</t>
  </si>
  <si>
    <t>https://www.linkedin.com/company/progressive-specialty-glass-co</t>
  </si>
  <si>
    <t>https://www.dandb.com/businessdirectory/progressivespecialtyglasscompanyinc.-plainville-ct-15350186.html</t>
  </si>
  <si>
    <t>Oxford Public Schools</t>
  </si>
  <si>
    <t>Oxford</t>
  </si>
  <si>
    <t>K-12 public education</t>
  </si>
  <si>
    <t>Estimated public operating budget</t>
  </si>
  <si>
    <t>https://www.oxfordpublicschools.org/contact</t>
  </si>
  <si>
    <t>https://www.oxfordpublicschools.org/operatingbudget</t>
  </si>
  <si>
    <t>National Shooting Sports Foundation</t>
  </si>
  <si>
    <t>Shelton</t>
  </si>
  <si>
    <t>Firearms-industry trade association</t>
  </si>
  <si>
    <t>https://www.nssf.org/privacy/</t>
  </si>
  <si>
    <t>https://projects.propublica.org/nonprofits/organizations/60860132</t>
  </si>
  <si>
    <t>Sacred Heart University</t>
  </si>
  <si>
    <t>Fairfield</t>
  </si>
  <si>
    <t>https://www.sacredheart.edu/about-shu/campuses--locations/park-avenue-campus/</t>
  </si>
  <si>
    <t>https://projects.propublica.org/nonprofits/organizations/60776644</t>
  </si>
  <si>
    <t>Trinity College</t>
  </si>
  <si>
    <t>Hartford</t>
  </si>
  <si>
    <t>https://www.trincoll.edu/admissions/visit-trinity/travel-to-campus/</t>
  </si>
  <si>
    <t>https://projects.propublica.org/nonprofits/organizations/60646927</t>
  </si>
  <si>
    <t>Community Mental Health Affiliates</t>
  </si>
  <si>
    <t>New Britain</t>
  </si>
  <si>
    <t>Behavioral health services nonprofit</t>
  </si>
  <si>
    <t>Cost-related intent observed; exact topic not recoverable</t>
  </si>
  <si>
    <t>https://www.cmhacc.org/</t>
  </si>
  <si>
    <t>https://projects.propublica.org/nonprofits/organizations/60934544</t>
  </si>
  <si>
    <t>Hartford HealthCare</t>
  </si>
  <si>
    <t>Health system</t>
  </si>
  <si>
    <t>Reported operating revenue; sum of CT acute-care hospitals in system</t>
  </si>
  <si>
    <t>https://hartfordhealthcare.org/about-us</t>
  </si>
  <si>
    <t>https://portal.ct.gov/-/media/ohs/reports/ohs-annual-report-on-the-financial-status-of-ct-hospitals-fy2024.pdf</t>
  </si>
  <si>
    <t>ACS Industries</t>
  </si>
  <si>
    <t>Metal mesh and components manufacturing</t>
  </si>
  <si>
    <t>https://acsindustries.com/</t>
  </si>
  <si>
    <t>https://growjo.com/company/ACS_Industries</t>
  </si>
  <si>
    <t>Cranston Public Schools</t>
  </si>
  <si>
    <t>Reported public-school funding/expenditure scale</t>
  </si>
  <si>
    <t>https://cpsed.net/</t>
  </si>
  <si>
    <t>https://www.ri.gov/opengovernment/agency/RIDE?fiscal_year=2025</t>
  </si>
  <si>
    <t>Eastern Connecticut State University</t>
  </si>
  <si>
    <t>Willimantic</t>
  </si>
  <si>
    <t>Estimated campus operating scale from CSCU system budget</t>
  </si>
  <si>
    <t>https://www.easternct.edu/about/contact-us.html</t>
  </si>
  <si>
    <t>https://www.easternct.edu/_documents/2025-neche-interim-fifth-year-report.pdf</t>
  </si>
  <si>
    <t>Feroleto Steel</t>
  </si>
  <si>
    <t>Bridgeport</t>
  </si>
  <si>
    <t>Steel processing and distribution</t>
  </si>
  <si>
    <t>https://safer.fmcsa.dot.gov/query.asp?query_param=USDOT&amp;query_string=146129&amp;query_type=queryCarrierSnapshot&amp;searchtype=ANY</t>
  </si>
  <si>
    <t>https://www.owler.com/company/feroletosteel</t>
  </si>
  <si>
    <t>HydroAir</t>
  </si>
  <si>
    <t>Wallingford</t>
  </si>
  <si>
    <t>Hydraulic systems and industrial equipment</t>
  </si>
  <si>
    <t>Estimated annual revenue; network-wide supplier profile</t>
  </si>
  <si>
    <t>https://www.linkedin.com/company/hydroair</t>
  </si>
  <si>
    <t>https://www.thomasnet.com/suppliers/connecticut/all-cities/compressed-air-dryers-24621401</t>
  </si>
  <si>
    <t>Jefferson Radiology</t>
  </si>
  <si>
    <t>East Hartford</t>
  </si>
  <si>
    <t>Diagnostic imaging / radiology</t>
  </si>
  <si>
    <t>Estimated annual revenue from employee count</t>
  </si>
  <si>
    <t>https://www.jeffersonradiology.com/about/</t>
  </si>
  <si>
    <t>https://growjo.com/company/Jefferson_Radiology</t>
  </si>
  <si>
    <t>LINEMASTER Switch</t>
  </si>
  <si>
    <t>Woodstock</t>
  </si>
  <si>
    <t>Industrial and medical foot-control manufacturing</t>
  </si>
  <si>
    <t>https://linemaster.com/contact/</t>
  </si>
  <si>
    <t>https://growjo.com/company/Linemaster_Switch_Corporation</t>
  </si>
  <si>
    <t>Milford Public Schools</t>
  </si>
  <si>
    <t>Milford</t>
  </si>
  <si>
    <t>https://www.milforded.org/</t>
  </si>
  <si>
    <t>https://www.milforded.org/o/mps/page/budget-central-202527</t>
  </si>
  <si>
    <t>Monroe Public Schools</t>
  </si>
  <si>
    <t>Monroe</t>
  </si>
  <si>
    <t>https://www.monroeps.org/</t>
  </si>
  <si>
    <t>https://www.monroect.gov/p/annual-town-budgets</t>
  </si>
  <si>
    <t>RAF Electronic Hardware</t>
  </si>
  <si>
    <t>Seymour</t>
  </si>
  <si>
    <t>Electronic hardware manufacturing</t>
  </si>
  <si>
    <t>https://www.wdi.ag/en/manufacturer/raf-electronic-hardware.html</t>
  </si>
  <si>
    <t>https://www.owler.com/company/rafhdwe</t>
  </si>
  <si>
    <t>Recovery Network of Programs</t>
  </si>
  <si>
    <t>Behavioral health and addiction services nonprofit</t>
  </si>
  <si>
    <t>https://recovery-programs.org/contact-us/</t>
  </si>
  <si>
    <t>https://projects.propublica.org/nonprofits/organizations/60910080</t>
  </si>
  <si>
    <t>Rhode Island Community Food Bank</t>
  </si>
  <si>
    <t>Food-security nonprofit</t>
  </si>
  <si>
    <t>https://rifoodbank.org/contact-us/</t>
  </si>
  <si>
    <t>https://projects.propublica.org/nonprofits/organizations/50395601</t>
  </si>
  <si>
    <t>RTA Store</t>
  </si>
  <si>
    <t>Hopewell Junction</t>
  </si>
  <si>
    <t>Online cabinetry retail</t>
  </si>
  <si>
    <t>Estimated annual revenue (range midpoint)</t>
  </si>
  <si>
    <t>https://www.thertastore.com/rta-faq</t>
  </si>
  <si>
    <t>https://leadiq.com/c/the-rta-store-inc/5a1da73e2300005c009ab537</t>
  </si>
  <si>
    <t>Southern Connecticut State University</t>
  </si>
  <si>
    <t>New Haven</t>
  </si>
  <si>
    <t>https://www.southernct.edu/about/contact</t>
  </si>
  <si>
    <t>Southington Public Schools</t>
  </si>
  <si>
    <t>Southington</t>
  </si>
  <si>
    <t>https://www.southingtonschools.org/</t>
  </si>
  <si>
    <t>https://www.southingtonschools.org/district-departments/business-department/budget</t>
  </si>
  <si>
    <t>SUNY Orange</t>
  </si>
  <si>
    <t>Middletown</t>
  </si>
  <si>
    <t>Reported operating budget</t>
  </si>
  <si>
    <t>https://sunyorange.edu/directions/index.html</t>
  </si>
  <si>
    <t>https://sunyorange.edu/aboutus/quick_facts.html</t>
  </si>
  <si>
    <t>Taft School</t>
  </si>
  <si>
    <t>Watertown</t>
  </si>
  <si>
    <t>Independent secondary education</t>
  </si>
  <si>
    <t>https://www.taftschool.org/admission</t>
  </si>
  <si>
    <t>https://philanthropy.org/990/report/060646921/taft-school-corporation</t>
  </si>
  <si>
    <t>TOMZ</t>
  </si>
  <si>
    <t>Berlin</t>
  </si>
  <si>
    <t>Medical-device manufacturing</t>
  </si>
  <si>
    <t>https://tomz.com/</t>
  </si>
  <si>
    <t>https://growjo.com/company/TOMZ_Corporation</t>
  </si>
  <si>
    <t>Tower Manufacturing</t>
  </si>
  <si>
    <t>Electrical safety devices and components</t>
  </si>
  <si>
    <t>Estimated annual revenue (midpoint of $10M-$25M range)</t>
  </si>
  <si>
    <t>https://www.towermfg.com/about/</t>
  </si>
  <si>
    <t>https://www.allbiz.com/business/tower-manufacturing-corporation-401-467-7550</t>
  </si>
  <si>
    <t>Tri-Lift</t>
  </si>
  <si>
    <t>Material-handling equipment sales and service</t>
  </si>
  <si>
    <t>https://www.triliftinc.com/contact/about</t>
  </si>
  <si>
    <t>https://b3-assets.dandb.com/businessdirectory/triliftinc.-newhaven-ct-13628692.html</t>
  </si>
  <si>
    <t>Twin River Worldwide Holdings</t>
  </si>
  <si>
    <t>Gaming and hospitality (now Bally's Corporation)</t>
  </si>
  <si>
    <t>Reported revenue (current entity Bally's; successor + predecessor periods)</t>
  </si>
  <si>
    <t>https://www.sec.gov/Archives/edgar/data/1747079/000174707920000038/trwh-20191231x10k.htm</t>
  </si>
  <si>
    <t>https://www.sec.gov/Archives/edgar/data/1747079/000174707926000019/baly-20251231.htm</t>
  </si>
  <si>
    <t>Vassar College</t>
  </si>
  <si>
    <t>Poughkeepsie</t>
  </si>
  <si>
    <t>https://www.vassar.edu/president/contact</t>
  </si>
  <si>
    <t>https://projects.propublica.org/nonprofits/organizations/141338587</t>
  </si>
  <si>
    <t>ERA ZoomInfo Intent — Excluded Companies</t>
  </si>
  <si>
    <t>All other recovered intent-report organizations, including territory-qualified companies screened out below $15M, with exclusion reasons and financial evidence where researched.</t>
  </si>
  <si>
    <t>Excluded companies</t>
  </si>
  <si>
    <t>Company A-Z</t>
  </si>
  <si>
    <t>4C Foods</t>
  </si>
  <si>
    <t>Brooklyn</t>
  </si>
  <si>
    <t>Food manufacturing</t>
  </si>
  <si>
    <t>N</t>
  </si>
  <si>
    <t>Outside ERA territory (New York City)</t>
  </si>
  <si>
    <t>https://www.4c.com/</t>
  </si>
  <si>
    <t>ACE Southern</t>
  </si>
  <si>
    <t>Melville</t>
  </si>
  <si>
    <t>Dental and medical products distribution</t>
  </si>
  <si>
    <t>Outside ERA territory (Suffolk County)</t>
  </si>
  <si>
    <t>https://www.acesouthern.com/contact</t>
  </si>
  <si>
    <t>Adirondack Brewery</t>
  </si>
  <si>
    <t>Lake George</t>
  </si>
  <si>
    <t>Beverage manufacturing / hospitality</t>
  </si>
  <si>
    <t>Outside ERA territory (Warren County)</t>
  </si>
  <si>
    <t>https://adkbrewery.com/</t>
  </si>
  <si>
    <t>American Regent</t>
  </si>
  <si>
    <t>Shirley</t>
  </si>
  <si>
    <t>Pharmaceutical manufacturing</t>
  </si>
  <si>
    <t>Outside ERA territory (Suffolk County); already tagged by another ERA consultant</t>
  </si>
  <si>
    <t>https://americanregent.com/</t>
  </si>
  <si>
    <t>Apple Rubber Products</t>
  </si>
  <si>
    <t>Lancaster</t>
  </si>
  <si>
    <t>Seals and elastomer manufacturing</t>
  </si>
  <si>
    <t>Outside ERA territory (Erie County)</t>
  </si>
  <si>
    <t>https://www.applerubber.com/</t>
  </si>
  <si>
    <t>Association for Computing Machinery</t>
  </si>
  <si>
    <t>New York</t>
  </si>
  <si>
    <t>Professional association / nonprofit</t>
  </si>
  <si>
    <t>https://www.acm.org/about-acm/contact-us</t>
  </si>
  <si>
    <t>Babicz Guitars</t>
  </si>
  <si>
    <t>Musical instruments and guitar hardware</t>
  </si>
  <si>
    <t>Below $15M revenue threshold — estimated annual sales is $500,000</t>
  </si>
  <si>
    <t>https://www.bbb.org/us/ny/poughkeepsie/profile/music-instrument-store/babicz-guitars-0121-130460</t>
  </si>
  <si>
    <t>https://www.allbiz.com/business/babicz-guitars</t>
  </si>
  <si>
    <t>Baruch College</t>
  </si>
  <si>
    <t>https://www.baruch.cuny.edu/</t>
  </si>
  <si>
    <t>Behavioral Health</t>
  </si>
  <si>
    <t>Unknown</t>
  </si>
  <si>
    <t>Healthcare / human services</t>
  </si>
  <si>
    <t>Ambiguous organization name; headquarters could not be tied confidently to the screenshot</t>
  </si>
  <si>
    <t>Belcam</t>
  </si>
  <si>
    <t>Rouses Point</t>
  </si>
  <si>
    <t>Beauty and personal-care manufacturing</t>
  </si>
  <si>
    <t>Outside ERA territory (Clinton County)</t>
  </si>
  <si>
    <t>https://belcambeauty.com/pages/contact-us-2</t>
  </si>
  <si>
    <t>Better Healthcare</t>
  </si>
  <si>
    <t>Healthcare</t>
  </si>
  <si>
    <t>Binghamton Public Schools</t>
  </si>
  <si>
    <t>Binghamton</t>
  </si>
  <si>
    <t>Outside ERA territory (Broome County)</t>
  </si>
  <si>
    <t>https://www.binghamtonschools.org/</t>
  </si>
  <si>
    <t>BOCES District</t>
  </si>
  <si>
    <t>Ambiguous organization name; specific BOCES district was not recoverable</t>
  </si>
  <si>
    <t>Boston Valley Terra Cotta</t>
  </si>
  <si>
    <t>Orchard Park</t>
  </si>
  <si>
    <t>Architectural ceramics manufacturing</t>
  </si>
  <si>
    <t>https://bostonvalley.com/about/</t>
  </si>
  <si>
    <t>Briarcliffe Manor</t>
  </si>
  <si>
    <t>Johnston</t>
  </si>
  <si>
    <t>Skilled nursing and senior care</t>
  </si>
  <si>
    <t>Reported net patient revenue</t>
  </si>
  <si>
    <t>Below $15M revenue threshold — reported net patient revenue is $12,500,000</t>
  </si>
  <si>
    <t>https://business.sos.ri.gov/CorpWeb/CorpSearch/CorpSummary.aspx?FEIN=001699917</t>
  </si>
  <si>
    <t>https://assistedlivingmagazine.com/nursing-home/briarcliffe-manor/</t>
  </si>
  <si>
    <t>Brockport Central School District</t>
  </si>
  <si>
    <t>Brockport</t>
  </si>
  <si>
    <t>Outside ERA territory (Monroe County)</t>
  </si>
  <si>
    <t>https://www.bcs1.org/</t>
  </si>
  <si>
    <t>Bryant &amp; Stratton College</t>
  </si>
  <si>
    <t>Buffalo</t>
  </si>
  <si>
    <t>https://www.bryantstratton.edu/</t>
  </si>
  <si>
    <t>Buckley Country Day School</t>
  </si>
  <si>
    <t>Roslyn</t>
  </si>
  <si>
    <t>Independent K-8 education</t>
  </si>
  <si>
    <t>Supplier Management</t>
  </si>
  <si>
    <t>Outside ERA territory (Nassau County)</t>
  </si>
  <si>
    <t>https://www.buckleycountryday.com/</t>
  </si>
  <si>
    <t>Buffalo Rehab Group</t>
  </si>
  <si>
    <t>Williamsville</t>
  </si>
  <si>
    <t>Physical therapy and rehabilitation</t>
  </si>
  <si>
    <t>Cost Optimization; Cost Intelligence</t>
  </si>
  <si>
    <t>https://buffalorehab.com/</t>
  </si>
  <si>
    <t>C-life Group</t>
  </si>
  <si>
    <t>Apparel licensing and manufacturing</t>
  </si>
  <si>
    <t>https://www.c-lifegroup.com/</t>
  </si>
  <si>
    <t>Cameron Manufacturing &amp; Design</t>
  </si>
  <si>
    <t>Horseheads</t>
  </si>
  <si>
    <t>Contract manufacturing and fabrication</t>
  </si>
  <si>
    <t>Outside ERA territory (Chemung County)</t>
  </si>
  <si>
    <t>https://www.cameronmfg.com/</t>
  </si>
  <si>
    <t>Cannon Security Products</t>
  </si>
  <si>
    <t>Deer Park</t>
  </si>
  <si>
    <t>Security-products manufacturing</t>
  </si>
  <si>
    <t>CaringKind</t>
  </si>
  <si>
    <t>Alzheimer's support nonprofit</t>
  </si>
  <si>
    <t>https://www.caringkindnyc.org/</t>
  </si>
  <si>
    <t>Catholic Academy of Bridgeport</t>
  </si>
  <si>
    <t>K-8 education / nonprofit</t>
  </si>
  <si>
    <t>Estimated operating revenue from enrollment, tuition and annual-report scale</t>
  </si>
  <si>
    <t>2023-24 est.</t>
  </si>
  <si>
    <t>Below $15M revenue threshold — estimated operating revenue from enrollment, tuition and annual-report scale is $8,000,000</t>
  </si>
  <si>
    <t>https://www.catholicacademybridgeport.org/contact</t>
  </si>
  <si>
    <t>https://www.catholicacademybridgeport.org/_files/ugd/ae096b_25fd9fc44ef9495f9fca1cf88130454f.pdf?index=true</t>
  </si>
  <si>
    <t>Catholic Charities Neighborhood Services</t>
  </si>
  <si>
    <t>Human services nonprofit</t>
  </si>
  <si>
    <t>https://www.ccbq.org/</t>
  </si>
  <si>
    <t>Center for Medicare Advocacy</t>
  </si>
  <si>
    <t>Healthcare advocacy nonprofit</t>
  </si>
  <si>
    <t>Below $15M revenue threshold — reported revenue (form 990) is $3,630,849</t>
  </si>
  <si>
    <t>https://medicareadvocacy.org/about/contact-us-2/</t>
  </si>
  <si>
    <t>https://www.causeiq.com/organizations/center-for-medicare-advocacy%2C061172509/</t>
  </si>
  <si>
    <t>Center for NYC Neighborhoods</t>
  </si>
  <si>
    <t>Housing nonprofit</t>
  </si>
  <si>
    <t>https://cnycn.org/</t>
  </si>
  <si>
    <t>Child Mind Institute</t>
  </si>
  <si>
    <t>Mental-health nonprofit</t>
  </si>
  <si>
    <t>https://childmind.org/</t>
  </si>
  <si>
    <t>City Tech (CUNY)</t>
  </si>
  <si>
    <t>https://www.citytech.cuny.edu/</t>
  </si>
  <si>
    <t>Colgate University</t>
  </si>
  <si>
    <t>Hamilton</t>
  </si>
  <si>
    <t>Outside ERA territory (Madison County)</t>
  </si>
  <si>
    <t>https://www.colgate.edu/</t>
  </si>
  <si>
    <t>Collegiate School</t>
  </si>
  <si>
    <t>Independent K-12 education</t>
  </si>
  <si>
    <t>https://www.collegiateschool.org/</t>
  </si>
  <si>
    <t>Common Ground</t>
  </si>
  <si>
    <t>Nonprofit / education</t>
  </si>
  <si>
    <t>ComNet</t>
  </si>
  <si>
    <t>Danbury</t>
  </si>
  <si>
    <t>Networking and video-surveillance equipment manufacturing</t>
  </si>
  <si>
    <t>Below $15M revenue threshold — estimated annual revenue is $618,088</t>
  </si>
  <si>
    <t>https://comnet.net/about-us</t>
  </si>
  <si>
    <t>https://www.manta.com/c/mtm76h1/comnet-communication-networks</t>
  </si>
  <si>
    <t>Contech Medical</t>
  </si>
  <si>
    <t>Medical-device packaging and contract manufacturing</t>
  </si>
  <si>
    <t>Below $15M revenue threshold — estimated annual revenue from employee count is $11,500,000</t>
  </si>
  <si>
    <t>https://www.contechmedical.com/contact-us.html</t>
  </si>
  <si>
    <t>https://growjo.com/company/Contech_Medical</t>
  </si>
  <si>
    <t>Cooperstown Getaway</t>
  </si>
  <si>
    <t>Cooperstown</t>
  </si>
  <si>
    <t>Hospitality / travel</t>
  </si>
  <si>
    <t>Outside ERA territory (Otsego County)</t>
  </si>
  <si>
    <t>Cornell University</t>
  </si>
  <si>
    <t>Ithaca</t>
  </si>
  <si>
    <t>Outside ERA territory (Tompkins County)</t>
  </si>
  <si>
    <t>https://www.cornell.edu/</t>
  </si>
  <si>
    <t>Crohn's &amp; Colitis Foundation</t>
  </si>
  <si>
    <t>Healthcare nonprofit</t>
  </si>
  <si>
    <t>https://www.crohnscolitisfoundation.org/</t>
  </si>
  <si>
    <t>Crown Shy</t>
  </si>
  <si>
    <t>Restaurant / hospitality</t>
  </si>
  <si>
    <t>https://www.crownshy.nyc/</t>
  </si>
  <si>
    <t>Custom Wood Products</t>
  </si>
  <si>
    <t>Wood-products manufacturing</t>
  </si>
  <si>
    <t>Ambiguous company identity; multiple Northeast companies share this name</t>
  </si>
  <si>
    <t>DataCamp</t>
  </si>
  <si>
    <t>Online education / software</t>
  </si>
  <si>
    <t>https://www.datacamp.com/</t>
  </si>
  <si>
    <t>Datesweiser</t>
  </si>
  <si>
    <t>Architectural millwork and furniture manufacturing</t>
  </si>
  <si>
    <t>https://datesweiser.com/</t>
  </si>
  <si>
    <t>Delea Sod Farms</t>
  </si>
  <si>
    <t>East Northport</t>
  </si>
  <si>
    <t>Agriculture / sod production</t>
  </si>
  <si>
    <t>https://www.deleasod.com/contact-us/</t>
  </si>
  <si>
    <t>Drill Masters Eldorado Tool</t>
  </si>
  <si>
    <t>Precision tooling and machinery manufacturing</t>
  </si>
  <si>
    <t>Below $15M revenue threshold — estimated annual revenue (range midpoint) is $7,500,000</t>
  </si>
  <si>
    <t>https://dmetool.com/</t>
  </si>
  <si>
    <t>https://mfr.io/dmetool</t>
  </si>
  <si>
    <t>ECHO Cancer Foundation</t>
  </si>
  <si>
    <t>Norwich</t>
  </si>
  <si>
    <t>Cancer-support nonprofit</t>
  </si>
  <si>
    <t>Below $15M revenue threshold — reported revenue (form 990) is $129,500</t>
  </si>
  <si>
    <t>https://www.echocancerfoundation.org/</t>
  </si>
  <si>
    <t>https://philanthropy.org/990?city=Norwich&amp;page=0&amp;state=CT</t>
  </si>
  <si>
    <t>Empire State College</t>
  </si>
  <si>
    <t>Saratoga Springs</t>
  </si>
  <si>
    <t>Outside ERA territory (Saratoga County)</t>
  </si>
  <si>
    <t>https://www.sunyempire.edu/</t>
  </si>
  <si>
    <t>Engineered Plastics</t>
  </si>
  <si>
    <t>Plastics manufacturing</t>
  </si>
  <si>
    <t>Ambiguous company identity; headquarters could not be tied confidently to the screenshot</t>
  </si>
  <si>
    <t>Exec-Comm</t>
  </si>
  <si>
    <t>Professional training and coaching</t>
  </si>
  <si>
    <t>https://www.exec-comm.com/contact/</t>
  </si>
  <si>
    <t>Fairfield County Football League</t>
  </si>
  <si>
    <t>Youth sports nonprofit</t>
  </si>
  <si>
    <t>Ambiguous legal entity / headquarters could not be verified</t>
  </si>
  <si>
    <t>Fayetteville-Manlius Schools</t>
  </si>
  <si>
    <t>Manlius</t>
  </si>
  <si>
    <t>Outside ERA territory (Onondaga County)</t>
  </si>
  <si>
    <t>https://www.fmschools.org/</t>
  </si>
  <si>
    <t>Ferguson Library</t>
  </si>
  <si>
    <t>Stamford</t>
  </si>
  <si>
    <t>Public library</t>
  </si>
  <si>
    <t>Below $15M revenue threshold — reported revenue (form 990) is $10,931,037</t>
  </si>
  <si>
    <t>https://www.fergusonlibrary.org/about</t>
  </si>
  <si>
    <t>https://projects.propublica.org/nonprofits/organizations/60646528</t>
  </si>
  <si>
    <t>Ferncliff Manor</t>
  </si>
  <si>
    <t>Yonkers</t>
  </si>
  <si>
    <t>Special education and residential services nonprofit</t>
  </si>
  <si>
    <t>Outside ERA territory (Westchester County)</t>
  </si>
  <si>
    <t>https://ferncliffmanor.org/about-us/</t>
  </si>
  <si>
    <t>Five Star Products</t>
  </si>
  <si>
    <t>Construction chemicals manufacturing</t>
  </si>
  <si>
    <t>Below $15M revenue threshold — estimated annual revenue is $10,400,000</t>
  </si>
  <si>
    <t>https://www.fivestarproducts.com/about-us/who-we-are/</t>
  </si>
  <si>
    <t>https://www.buzzfile.com/business/Five-Star-Products%2C-Inc.-203-336-7900</t>
  </si>
  <si>
    <t>Food Bank of Central New York</t>
  </si>
  <si>
    <t>Syracuse</t>
  </si>
  <si>
    <t>https://www.foodbankcny.org/</t>
  </si>
  <si>
    <t>Fordham University</t>
  </si>
  <si>
    <t>Bronx</t>
  </si>
  <si>
    <t>https://www.fordham.edu/</t>
  </si>
  <si>
    <t>Frank Olean Center</t>
  </si>
  <si>
    <t>Westerly</t>
  </si>
  <si>
    <t>Developmental-disability services nonprofit</t>
  </si>
  <si>
    <t>Below $15M revenue threshold — reported revenue (form 990) is $2,934,265</t>
  </si>
  <si>
    <t>https://www.oleancenter.org/facilities</t>
  </si>
  <si>
    <t>https://www.causeiq.com/organizations/frank-olean-center%2C050311198/</t>
  </si>
  <si>
    <t>Galaxy Universal</t>
  </si>
  <si>
    <t>Apparel, footwear and brand management</t>
  </si>
  <si>
    <t>https://theorg.com/org/galaxy-universal</t>
  </si>
  <si>
    <t>Gernatt Asphalt Products</t>
  </si>
  <si>
    <t>Collins</t>
  </si>
  <si>
    <t>Aggregates and construction materials</t>
  </si>
  <si>
    <t>https://www.gernatt.com/</t>
  </si>
  <si>
    <t>GiveDirectly</t>
  </si>
  <si>
    <t>International-aid nonprofit</t>
  </si>
  <si>
    <t>https://www.givedirectly.org/</t>
  </si>
  <si>
    <t>Greenville Central School District</t>
  </si>
  <si>
    <t>Greenville</t>
  </si>
  <si>
    <t>Outside ERA territory (Greene County)</t>
  </si>
  <si>
    <t>https://www.greenvillecsd.org/</t>
  </si>
  <si>
    <t>Greenwich Water Club</t>
  </si>
  <si>
    <t>Cos Cob</t>
  </si>
  <si>
    <t>Recreation and social club</t>
  </si>
  <si>
    <t>Below $15M revenue threshold — reported revenue (form 990) is $10,039,381</t>
  </si>
  <si>
    <t>https://greenwichcrew.com/contact-us/</t>
  </si>
  <si>
    <t>https://projects.propublica.org/nonprofits/organizations/201379604</t>
  </si>
  <si>
    <t>Gund</t>
  </si>
  <si>
    <t>Edison</t>
  </si>
  <si>
    <t>NJ</t>
  </si>
  <si>
    <t>Toy and plush-products manufacturing</t>
  </si>
  <si>
    <t>Outside ERA territory (New Jersey)</t>
  </si>
  <si>
    <t>https://gund.com/</t>
  </si>
  <si>
    <t>H.D.I.</t>
  </si>
  <si>
    <t>Manufacturing / industrial</t>
  </si>
  <si>
    <t>H.J. Baker &amp; Bro.</t>
  </si>
  <si>
    <t>The Woodlands</t>
  </si>
  <si>
    <t>TX</t>
  </si>
  <si>
    <t>Agricultural and sulphur products</t>
  </si>
  <si>
    <t>Outside ERA territory (Texas)</t>
  </si>
  <si>
    <t>https://hjbaker.com/contact/contact-by-group.html</t>
  </si>
  <si>
    <t>Hamilton Central School District</t>
  </si>
  <si>
    <t>https://www.hamiltoncentral.org/</t>
  </si>
  <si>
    <t>Hancock Central School District</t>
  </si>
  <si>
    <t>Hancock</t>
  </si>
  <si>
    <t>Outside ERA territory (Delaware County)</t>
  </si>
  <si>
    <t>https://www.hancock.stier.org/</t>
  </si>
  <si>
    <t>Haugland Energy Group</t>
  </si>
  <si>
    <t>Energy infrastructure construction</t>
  </si>
  <si>
    <t>https://hauglandgroup.us/</t>
  </si>
  <si>
    <t>Healthcare Association of New York State</t>
  </si>
  <si>
    <t>Rensselaer</t>
  </si>
  <si>
    <t>Healthcare trade association</t>
  </si>
  <si>
    <t>Outside ERA territory (Rensselaer County)</t>
  </si>
  <si>
    <t>https://www.hanys.org/</t>
  </si>
  <si>
    <t>Healthcare Choices</t>
  </si>
  <si>
    <t>Healthcare services</t>
  </si>
  <si>
    <t>HELP USA</t>
  </si>
  <si>
    <t>Housing and human-services nonprofit</t>
  </si>
  <si>
    <t>https://www.helpusa.org/</t>
  </si>
  <si>
    <t>Herbochem Industries</t>
  </si>
  <si>
    <t>Port Washington</t>
  </si>
  <si>
    <t>Chemicals and ingredients distribution</t>
  </si>
  <si>
    <t>Herricks High School</t>
  </si>
  <si>
    <t>New Hyde Park</t>
  </si>
  <si>
    <t>https://www.herricks.org/</t>
  </si>
  <si>
    <t>HFW Industries</t>
  </si>
  <si>
    <t>Industrial machinery repair and coatings</t>
  </si>
  <si>
    <t>https://hfwindustries.com/</t>
  </si>
  <si>
    <t>Horizon Healthcare</t>
  </si>
  <si>
    <t>Hotel Indigo East End</t>
  </si>
  <si>
    <t>Riverhead</t>
  </si>
  <si>
    <t>Hospitality</t>
  </si>
  <si>
    <t>https://www.hieastend.com/</t>
  </si>
  <si>
    <t>Housing Works</t>
  </si>
  <si>
    <t>Housing and healthcare nonprofit</t>
  </si>
  <si>
    <t>https://www.housingworks.org/</t>
  </si>
  <si>
    <t>Idea Nuova</t>
  </si>
  <si>
    <t>Home furnishings and consumer products</t>
  </si>
  <si>
    <t>https://www.ideanuova.com/</t>
  </si>
  <si>
    <t>IEEE</t>
  </si>
  <si>
    <t>Piscataway</t>
  </si>
  <si>
    <t>https://www.ieee.org/about/contact.html</t>
  </si>
  <si>
    <t>Innovations for Poverty Action</t>
  </si>
  <si>
    <t>Washington</t>
  </si>
  <si>
    <t>DC</t>
  </si>
  <si>
    <t>Research and policy nonprofit</t>
  </si>
  <si>
    <t>Outside ERA territory (current U.S. physical headquarters in Washington, DC)</t>
  </si>
  <si>
    <t>https://poverty-action.org/contact-us</t>
  </si>
  <si>
    <t>J &amp; L Medical Services</t>
  </si>
  <si>
    <t>Middlebury</t>
  </si>
  <si>
    <t>Home medical equipment and respiratory services</t>
  </si>
  <si>
    <t>Below $15M revenue threshold — estimated annual revenue is $1,752,780</t>
  </si>
  <si>
    <t>https://www.jandlmedical.com/Locations</t>
  </si>
  <si>
    <t>https://www.manta.com/c/mmlr63q/j-l-medical-services-llc</t>
  </si>
  <si>
    <t>Jefferson Community College</t>
  </si>
  <si>
    <t>Outside ERA territory (Jefferson County)</t>
  </si>
  <si>
    <t>https://www.sunyjefferson.edu/</t>
  </si>
  <si>
    <t>Jefferson's Ferry</t>
  </si>
  <si>
    <t>South Setauket</t>
  </si>
  <si>
    <t>Senior living and care</t>
  </si>
  <si>
    <t>https://www.jeffersonsferry.org/</t>
  </si>
  <si>
    <t>John Dewey High School</t>
  </si>
  <si>
    <t>https://www.johndeweyhighschool.org/</t>
  </si>
  <si>
    <t>John Tyler Community College</t>
  </si>
  <si>
    <t>Chester</t>
  </si>
  <si>
    <t>VA</t>
  </si>
  <si>
    <t>Outside ERA territory (Virginia)</t>
  </si>
  <si>
    <t>https://www.brightpoint.edu/</t>
  </si>
  <si>
    <t>Johnson City Central School District</t>
  </si>
  <si>
    <t>Johnson City</t>
  </si>
  <si>
    <t>https://www.jcschools.com/</t>
  </si>
  <si>
    <t>Jukebox Health</t>
  </si>
  <si>
    <t>Healthcare services / aging-in-place technology</t>
  </si>
  <si>
    <t>https://www.jukeboxhealth.com/</t>
  </si>
  <si>
    <t>KUBTEC</t>
  </si>
  <si>
    <t>Stratford</t>
  </si>
  <si>
    <t>Medical imaging equipment manufacturing</t>
  </si>
  <si>
    <t>Estimated annual revenue (top of published range)</t>
  </si>
  <si>
    <t>Below $15M revenue threshold — estimated annual revenue (top of published range) is $5,000,000</t>
  </si>
  <si>
    <t>https://www.kubtec.com/about</t>
  </si>
  <si>
    <t>https://www.salary.com/research/company/kubtec-overview</t>
  </si>
  <si>
    <t>Lakewood United Methodist</t>
  </si>
  <si>
    <t>Lakewood</t>
  </si>
  <si>
    <t>Outside ERA territory (Chautauqua County)</t>
  </si>
  <si>
    <t>Le Vian</t>
  </si>
  <si>
    <t>Great Neck</t>
  </si>
  <si>
    <t>Jewelry manufacturing and wholesale</t>
  </si>
  <si>
    <t>https://www.levian.com/</t>
  </si>
  <si>
    <t>League Treatment Center</t>
  </si>
  <si>
    <t>Behavioral health and special-education nonprofit</t>
  </si>
  <si>
    <t>https://www.leaguecenter.org/</t>
  </si>
  <si>
    <t>LGBT Network</t>
  </si>
  <si>
    <t>Hauppauge</t>
  </si>
  <si>
    <t>LGBTQ services nonprofit</t>
  </si>
  <si>
    <t>https://lgbtnetwork.org/</t>
  </si>
  <si>
    <t>Lornamead</t>
  </si>
  <si>
    <t>Tonawanda</t>
  </si>
  <si>
    <t>Personal-care products manufacturing</t>
  </si>
  <si>
    <t>Cost Control; Cost Intelligence</t>
  </si>
  <si>
    <t>https://lornameadproducts.com/contact-us/</t>
  </si>
  <si>
    <t>Love Quiches Gourmet</t>
  </si>
  <si>
    <t>Freeport</t>
  </si>
  <si>
    <t>https://loveandquiches.com/</t>
  </si>
  <si>
    <t>Mill Development</t>
  </si>
  <si>
    <t>Manhasset</t>
  </si>
  <si>
    <t>Real-estate development</t>
  </si>
  <si>
    <t>Outside ERA territory (Nassau County); identity inferred from closest exact match</t>
  </si>
  <si>
    <t>https://www.bizprofile.net/ny/manhasset/mill-development-corp</t>
  </si>
  <si>
    <t>Mozaic</t>
  </si>
  <si>
    <t>Waterloo</t>
  </si>
  <si>
    <t>Disability services nonprofit</t>
  </si>
  <si>
    <t>Outside ERA territory (Seneca County)</t>
  </si>
  <si>
    <t>https://www.mozaic.org/</t>
  </si>
  <si>
    <t>National Elevator Cab &amp; Door</t>
  </si>
  <si>
    <t>Elevator cab and door manufacturing</t>
  </si>
  <si>
    <t>National Urban League</t>
  </si>
  <si>
    <t>Civil-rights and economic-empowerment nonprofit</t>
  </si>
  <si>
    <t>https://nul.org/</t>
  </si>
  <si>
    <t>New York Congregational Nursing Center</t>
  </si>
  <si>
    <t>Skilled nursing and rehabilitation</t>
  </si>
  <si>
    <t>https://nycnc.org/</t>
  </si>
  <si>
    <t>New York Law School</t>
  </si>
  <si>
    <t>https://www.nyls.edu/</t>
  </si>
  <si>
    <t>New York State Office of Mental Health</t>
  </si>
  <si>
    <t>Albany</t>
  </si>
  <si>
    <t>State government / mental health</t>
  </si>
  <si>
    <t>Outside ERA territory (Albany County)</t>
  </si>
  <si>
    <t>https://omh.ny.gov/</t>
  </si>
  <si>
    <t>Niagara University</t>
  </si>
  <si>
    <t>Lewiston</t>
  </si>
  <si>
    <t>Outside ERA territory (Niagara County)</t>
  </si>
  <si>
    <t>https://www.niagara.edu/</t>
  </si>
  <si>
    <t>North Bellmore School District</t>
  </si>
  <si>
    <t>North Bellmore</t>
  </si>
  <si>
    <t>https://www.northbellmoreschools.org/</t>
  </si>
  <si>
    <t>North Salem Central School District</t>
  </si>
  <si>
    <t>North Salem</t>
  </si>
  <si>
    <t>https://www.northsalemschools.org/</t>
  </si>
  <si>
    <t>Northwest Regional Workforce Investment Board</t>
  </si>
  <si>
    <t>Waterbury</t>
  </si>
  <si>
    <t>Workforce-development nonprofit</t>
  </si>
  <si>
    <t>Below $15M revenue threshold — reported revenue (form 990) is $13,426,602</t>
  </si>
  <si>
    <t>https://www.nrwib.org/</t>
  </si>
  <si>
    <t>https://www.causeiq.com/organizations/northwest-regional-workforce%2C061623757/</t>
  </si>
  <si>
    <t>Ocean Community YMCA</t>
  </si>
  <si>
    <t>Community recreation and youth-services nonprofit</t>
  </si>
  <si>
    <t>Below $15M revenue threshold — reported revenue (form 990) is $12,691,257</t>
  </si>
  <si>
    <t>https://oceancommunityymca.org/administrative-offices/</t>
  </si>
  <si>
    <t>https://projects.propublica.org/nonprofits/organizations/50268126</t>
  </si>
  <si>
    <t>Ohserase Manufacturing</t>
  </si>
  <si>
    <t>Akwesasne</t>
  </si>
  <si>
    <t>Manufacturing</t>
  </si>
  <si>
    <t>Outside ERA territory (Franklin County)</t>
  </si>
  <si>
    <t>https://www.linkedin.com/company/ohserase-manufacturing</t>
  </si>
  <si>
    <t>OLV Human Services</t>
  </si>
  <si>
    <t>Lackawanna</t>
  </si>
  <si>
    <t>https://www.olvhumanservices.org/</t>
  </si>
  <si>
    <t>Oneida Air Systems</t>
  </si>
  <si>
    <t>Dust-collection equipment manufacturing</t>
  </si>
  <si>
    <t>Cost Intelligence</t>
  </si>
  <si>
    <t>https://www.oneida-air.com/</t>
  </si>
  <si>
    <t>Onondaga Nation School</t>
  </si>
  <si>
    <t>Nedrow</t>
  </si>
  <si>
    <t>K-8 public education</t>
  </si>
  <si>
    <t>https://www.lafayetteschools.org/</t>
  </si>
  <si>
    <t>Optimax Systems</t>
  </si>
  <si>
    <t>Ontario</t>
  </si>
  <si>
    <t>Optics manufacturing</t>
  </si>
  <si>
    <t>Outside ERA territory (Wayne County)</t>
  </si>
  <si>
    <t>https://www.optimaxsi.com/</t>
  </si>
  <si>
    <t>Oswego City School District</t>
  </si>
  <si>
    <t>Oswego</t>
  </si>
  <si>
    <t>Outside ERA territory (Oswego County)</t>
  </si>
  <si>
    <t>https://www.oswego.org/</t>
  </si>
  <si>
    <t>ParaDocs Worldwide</t>
  </si>
  <si>
    <t>Event medical services</t>
  </si>
  <si>
    <t>https://www.paradocsworldwide.com/</t>
  </si>
  <si>
    <t>Parker Lifestyle</t>
  </si>
  <si>
    <t>Consumer products / lifestyle</t>
  </si>
  <si>
    <t>Peninsula Nursing &amp; Rehabilitation</t>
  </si>
  <si>
    <t>Far Rockaway</t>
  </si>
  <si>
    <t>Pfannenberg</t>
  </si>
  <si>
    <t>Thermal-management and signaling equipment manufacturing</t>
  </si>
  <si>
    <t>https://www.pfannenbergusa.com/</t>
  </si>
  <si>
    <t>Pilgrim Screw</t>
  </si>
  <si>
    <t>Aerospace and medical fastener manufacturing</t>
  </si>
  <si>
    <t>https://pilgrimaerospace.com/contact/</t>
  </si>
  <si>
    <t>https://www.thomasnet.com/suppliers/rhode-island/all-cities/screws-72210404</t>
  </si>
  <si>
    <t>Population Council</t>
  </si>
  <si>
    <t>Global health research nonprofit</t>
  </si>
  <si>
    <t>https://popcouncil.org/</t>
  </si>
  <si>
    <t>Poughkeepsie Day School</t>
  </si>
  <si>
    <t>Reported revenue (latest available Form 990)</t>
  </si>
  <si>
    <t>Below $15M revenue threshold — reported revenue (latest available form 990) is $7,443,414</t>
  </si>
  <si>
    <t>https://poughkeepsieday.org/about/</t>
  </si>
  <si>
    <t>https://projects.propublica.org/nonprofits/organizations/141364581</t>
  </si>
  <si>
    <t>Precisa Techno Trade</t>
  </si>
  <si>
    <t>Industrial / technology distribution</t>
  </si>
  <si>
    <t>Public Clothing Company</t>
  </si>
  <si>
    <t>Apparel manufacturing</t>
  </si>
  <si>
    <t>Public Relations Society of America</t>
  </si>
  <si>
    <t>https://www.prsa.org/</t>
  </si>
  <si>
    <t>QES Solutions</t>
  </si>
  <si>
    <t>Rochester</t>
  </si>
  <si>
    <t>Engineering and industrial services</t>
  </si>
  <si>
    <t>https://qessolutions.com/</t>
  </si>
  <si>
    <t>Qualitrol</t>
  </si>
  <si>
    <t>Fairport</t>
  </si>
  <si>
    <t>Electrical monitoring equipment manufacturing</t>
  </si>
  <si>
    <t>https://www.qualitrolcorp.com/</t>
  </si>
  <si>
    <t>Queens College</t>
  </si>
  <si>
    <t>Queens</t>
  </si>
  <si>
    <t>https://www.qc.cuny.edu/</t>
  </si>
  <si>
    <t>Reilly Windows &amp; Doors</t>
  </si>
  <si>
    <t>Calverton</t>
  </si>
  <si>
    <t>Architectural windows and doors manufacturing</t>
  </si>
  <si>
    <t>https://reillywindows.com/</t>
  </si>
  <si>
    <t>Riverbrook Regional YMCA</t>
  </si>
  <si>
    <t>Wilton</t>
  </si>
  <si>
    <t>Below $15M revenue threshold — reported operating budget is $8,800,000</t>
  </si>
  <si>
    <t>https://wiltonymca.org/about-us/</t>
  </si>
  <si>
    <t>https://impala.digital/public/profiles/06-0853258/overview</t>
  </si>
  <si>
    <t>Room</t>
  </si>
  <si>
    <t>Office furniture manufacturing</t>
  </si>
  <si>
    <t>Cost Optimization; Cost Intelligence; Expense Reduction</t>
  </si>
  <si>
    <t>https://room.com/</t>
  </si>
  <si>
    <t>Royal Products</t>
  </si>
  <si>
    <t>Machine-tool accessories manufacturing</t>
  </si>
  <si>
    <t>https://www.royalproducts.com/</t>
  </si>
  <si>
    <t>Sherburne-Earlville Central School District</t>
  </si>
  <si>
    <t>Sherburne</t>
  </si>
  <si>
    <t>Outside ERA territory (Chenango County)</t>
  </si>
  <si>
    <t>https://www.secsd.org/</t>
  </si>
  <si>
    <t>Solectron Technical Services</t>
  </si>
  <si>
    <t>Electronics manufacturing services</t>
  </si>
  <si>
    <t>Headquarters identity/current entity could not be verified; legacy Solectron name</t>
  </si>
  <si>
    <t>Sotek</t>
  </si>
  <si>
    <t>Electrical and mechanical manufacturing</t>
  </si>
  <si>
    <t>https://sotek.com/</t>
  </si>
  <si>
    <t>Spot &amp; Tango</t>
  </si>
  <si>
    <t>Pet-food manufacturing</t>
  </si>
  <si>
    <t>https://spotandtango.com/</t>
  </si>
  <si>
    <t>St. Bonaventure University</t>
  </si>
  <si>
    <t>St. Bonaventure</t>
  </si>
  <si>
    <t>Outside ERA territory (Cattaraugus County)</t>
  </si>
  <si>
    <t>https://www.sbu.edu/</t>
  </si>
  <si>
    <t>St. John Fisher University</t>
  </si>
  <si>
    <t>https://www.sjf.edu/</t>
  </si>
  <si>
    <t>SUNY Cobleskill</t>
  </si>
  <si>
    <t>Cobleskill</t>
  </si>
  <si>
    <t>Outside ERA territory (Schoharie County)</t>
  </si>
  <si>
    <t>https://www.cobleskill.edu/</t>
  </si>
  <si>
    <t>SUNY Cortland</t>
  </si>
  <si>
    <t>Cortland</t>
  </si>
  <si>
    <t>Outside ERA territory (Cortland County)</t>
  </si>
  <si>
    <t>https://www2.cortland.edu/</t>
  </si>
  <si>
    <t>T &amp; L Automatics</t>
  </si>
  <si>
    <t>Precision machining</t>
  </si>
  <si>
    <t>The Bridge Family Center</t>
  </si>
  <si>
    <t>West Hartford</t>
  </si>
  <si>
    <t>Family and mental-health services nonprofit</t>
  </si>
  <si>
    <t>Below $15M revenue threshold — reported revenue (form 990) is $10,067,530</t>
  </si>
  <si>
    <t>https://bridgefamilycenter.org/contact-the-bridge</t>
  </si>
  <si>
    <t>https://projects.propublica.org/nonprofits/organizations/237013563</t>
  </si>
  <si>
    <t>The Chemical</t>
  </si>
  <si>
    <t>Chemicals</t>
  </si>
  <si>
    <t>Timothy Hill</t>
  </si>
  <si>
    <t>Youth and family services nonprofit</t>
  </si>
  <si>
    <t>https://timothyhill.org/</t>
  </si>
  <si>
    <t>Trammo</t>
  </si>
  <si>
    <t>Commodity trading and logistics</t>
  </si>
  <si>
    <t>https://www.trammo.com/</t>
  </si>
  <si>
    <t>United Cerebral Palsy of Rhode Island</t>
  </si>
  <si>
    <t>Pawtucket</t>
  </si>
  <si>
    <t>Below $15M revenue threshold — reported revenue (form 990) is $9,040,865</t>
  </si>
  <si>
    <t>https://www.ucpri.org/contact</t>
  </si>
  <si>
    <t>https://projects.propublica.org/nonprofits/organizations/50285815</t>
  </si>
  <si>
    <t>United Federation of Teachers</t>
  </si>
  <si>
    <t>Labor union / nonprofit</t>
  </si>
  <si>
    <t>https://www.uft.org/</t>
  </si>
  <si>
    <t>Universal Instruments</t>
  </si>
  <si>
    <t>Conklin</t>
  </si>
  <si>
    <t>Electronics-assembly equipment manufacturing</t>
  </si>
  <si>
    <t>https://www.uic.com/</t>
  </si>
  <si>
    <t>Urban Arts Partnership</t>
  </si>
  <si>
    <t>Arts education nonprofit</t>
  </si>
  <si>
    <t>https://urbanarts.org/</t>
  </si>
  <si>
    <t>VERBIO North America</t>
  </si>
  <si>
    <t>Nevada</t>
  </si>
  <si>
    <t>IA</t>
  </si>
  <si>
    <t>Biofuels and renewable-energy manufacturing</t>
  </si>
  <si>
    <t>Outside ERA territory (Iowa)</t>
  </si>
  <si>
    <t>https://www.verbio.us/</t>
  </si>
  <si>
    <t>Vernon Police Department</t>
  </si>
  <si>
    <t>Vernon</t>
  </si>
  <si>
    <t>Municipal public safety</t>
  </si>
  <si>
    <t>Reported municipal police operating budget</t>
  </si>
  <si>
    <t>Below $15M revenue threshold — reported municipal police operating budget is $6,874,932</t>
  </si>
  <si>
    <t>https://www.vernon-ct.gov/government/police-department</t>
  </si>
  <si>
    <t>https://files-backend.assets.thrillshare.com/documents/asset/uploaded_file/5247/Tov/bf5b9bf4-4b53-4b87-90cd-757f9bd8d42f/RevenueAppropriations2024-2025-2.pdf?disposition=inline</t>
  </si>
  <si>
    <t>VillageCare</t>
  </si>
  <si>
    <t>Healthcare and senior services nonprofit</t>
  </si>
  <si>
    <t>https://www.villagecare.org/</t>
  </si>
  <si>
    <t>Wells Nursing Home</t>
  </si>
  <si>
    <t>Johnstown</t>
  </si>
  <si>
    <t>Outside ERA territory (Fulton County)</t>
  </si>
  <si>
    <t>https://www.wellsnursinghome.org/</t>
  </si>
  <si>
    <t>William George Agency</t>
  </si>
  <si>
    <t>Freeville</t>
  </si>
  <si>
    <t>https://www.wgaforchildren.org/</t>
  </si>
  <si>
    <t>WNYC Radio</t>
  </si>
  <si>
    <t>Public media nonprofit</t>
  </si>
  <si>
    <t>https://www.wnyc.org/</t>
  </si>
  <si>
    <t>Women's Prison Association</t>
  </si>
  <si>
    <t>Justice and reentry nonprofit</t>
  </si>
  <si>
    <t>https://www.wpaonline.org/</t>
  </si>
  <si>
    <t>Xaverian High School</t>
  </si>
  <si>
    <t>https://www.xaverian.org/</t>
  </si>
  <si>
    <t>Yarde Metals</t>
  </si>
  <si>
    <t>Metal service center and distribution</t>
  </si>
  <si>
    <t>Manufacturing Cost Reduction; Cost Optimization</t>
  </si>
  <si>
    <t>Already tagged by another ERA consultant (Steve Parkes)</t>
  </si>
  <si>
    <t>https://www.yarde.com/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</si>
</sst>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7">
    <font>
      <sz val="11"/>
      <name val="Carlito"/>
    </font>
    <font>
      <b/>
      <sz val="16"/>
      <color rgb="FFFFFFFF"/>
      <name val="Carlito"/>
    </font>
    <font>
      <i/>
      <sz val="10"/>
      <color rgb="FF1F2937"/>
      <name val="Carlito"/>
    </font>
    <font>
      <sz val="9"/>
      <color rgb="FF5B6573"/>
      <name val="Carlito"/>
    </font>
    <font>
      <b/>
      <sz val="9"/>
      <color rgb="FF1F2937"/>
      <name val="Carlito"/>
    </font>
    <font>
      <b/>
      <sz val="10"/>
      <color rgb="FFFFFFFF"/>
      <name val="Carlito"/>
    </font>
    <font>
      <sz val="9"/>
      <color rgb="FF1F2937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DCE6F1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2F75B5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vertical="center"/>
    </xf>
    <xf numFmtId="0" fontId="4" fillId="5" borderId="0" xfId="0" applyFont="1" applyFill="1" applyAlignment="1">
      <alignment vertical="center"/>
    </xf>
    <xf numFmtId="164" fontId="3" fillId="0" borderId="0" xfId="0" applyNumberFormat="1" applyFont="1" applyAlignment="1">
      <alignment vertical="center"/>
    </xf>
    <xf numFmtId="0" fontId="5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1" fontId="6" fillId="0" borderId="1" xfId="0" applyNumberFormat="1" applyFont="1" applyBorder="1" applyAlignment="1">
      <alignment horizontal="center" vertical="top" wrapText="1"/>
    </xf>
    <xf numFmtId="164" fontId="6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4" fillId="7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</cellXfs>
  <cellStyles count="1">
    <cellStyle name="Normal" xfId="0" builtinId="0"/>
  </cellStyles>
  <dxfs count="10"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ill>
        <patternFill patternType="solid">
          <bgColor rgb="FFF7FAF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ill>
        <patternFill patternType="solid">
          <bgColor rgb="FFF7FA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utreachTargetsTable" displayName="OutreachTargetsTable" ref="A5:P42" totalsRowShown="0">
  <tableColumns count="16">
    <tableColumn id="1" xr3:uid="{00000000-0010-0000-0000-000001000000}" name="Company"/>
    <tableColumn id="2" xr3:uid="{00000000-0010-0000-0000-000002000000}" name="HQ City"/>
    <tableColumn id="3" xr3:uid="{00000000-0010-0000-0000-000003000000}" name="HQ State"/>
    <tableColumn id="4" xr3:uid="{00000000-0010-0000-0000-000004000000}" name="Industry"/>
    <tableColumn id="5" xr3:uid="{00000000-0010-0000-0000-000005000000}" name="Intent Topics Seen"/>
    <tableColumn id="6" xr3:uid="{00000000-0010-0000-0000-000006000000}" name="Highest Intent Score Seen"/>
    <tableColumn id="7" xr3:uid="{00000000-0010-0000-0000-000007000000}" name="Annual Revenue / Operating Scale (USD)"/>
    <tableColumn id="8" xr3:uid="{00000000-0010-0000-0000-000008000000}" name="Financial Basis"/>
    <tableColumn id="9" xr3:uid="{00000000-0010-0000-0000-000009000000}" name="Financial Year"/>
    <tableColumn id="10" xr3:uid="{00000000-0010-0000-0000-00000A000000}" name="Revenue Confidence"/>
    <tableColumn id="11" xr3:uid="{00000000-0010-0000-0000-00000B000000}" name="Meets $15M Threshold (Y/N)"/>
    <tableColumn id="12" xr3:uid="{00000000-0010-0000-0000-00000C000000}" name="In Territory (Y/N)"/>
    <tableColumn id="13" xr3:uid="{00000000-0010-0000-0000-00000D000000}" name="Exclusion Reason (if excluded)"/>
    <tableColumn id="14" xr3:uid="{00000000-0010-0000-0000-00000E000000}" name="Recommended for Outreach (Y/N)"/>
    <tableColumn id="15" xr3:uid="{00000000-0010-0000-0000-00000F000000}" name="HQ / Industry Source"/>
    <tableColumn id="16" xr3:uid="{00000000-0010-0000-0000-000010000000}" name="Revenue 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xcludedCompaniesTable" displayName="ExcludedCompaniesTable" ref="A5:P158" totalsRowShown="0">
  <tableColumns count="16">
    <tableColumn id="1" xr3:uid="{00000000-0010-0000-0100-000001000000}" name="Company"/>
    <tableColumn id="2" xr3:uid="{00000000-0010-0000-0100-000002000000}" name="HQ City"/>
    <tableColumn id="3" xr3:uid="{00000000-0010-0000-0100-000003000000}" name="HQ State"/>
    <tableColumn id="4" xr3:uid="{00000000-0010-0000-0100-000004000000}" name="Industry"/>
    <tableColumn id="5" xr3:uid="{00000000-0010-0000-0100-000005000000}" name="Intent Topics Seen"/>
    <tableColumn id="6" xr3:uid="{00000000-0010-0000-0100-000006000000}" name="Highest Intent Score Seen"/>
    <tableColumn id="7" xr3:uid="{00000000-0010-0000-0100-000007000000}" name="Annual Revenue / Operating Scale (USD)"/>
    <tableColumn id="8" xr3:uid="{00000000-0010-0000-0100-000008000000}" name="Financial Basis"/>
    <tableColumn id="9" xr3:uid="{00000000-0010-0000-0100-000009000000}" name="Financial Year"/>
    <tableColumn id="10" xr3:uid="{00000000-0010-0000-0100-00000A000000}" name="Revenue Confidence"/>
    <tableColumn id="11" xr3:uid="{00000000-0010-0000-0100-00000B000000}" name="Meets $15M Threshold (Y/N)"/>
    <tableColumn id="12" xr3:uid="{00000000-0010-0000-0100-00000C000000}" name="In Territory (Y/N)"/>
    <tableColumn id="13" xr3:uid="{00000000-0010-0000-0100-00000D000000}" name="Exclusion Reason (if excluded)"/>
    <tableColumn id="14" xr3:uid="{00000000-0010-0000-0100-00000E000000}" name="Recommended for Outreach (Y/N)"/>
    <tableColumn id="15" xr3:uid="{00000000-0010-0000-0100-00000F000000}" name="HQ / Industry Source"/>
    <tableColumn id="16" xr3:uid="{00000000-0010-0000-0100-000010000000}" name="Revenue 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"/>
  <sheetViews>
    <sheetView showGridLines="0" tabSelected="1" workbookViewId="0">
      <selection sqref="A1:P1"/>
    </sheetView>
  </sheetViews>
  <sheetFormatPr baseColWidth="10" defaultColWidth="8.83203125" defaultRowHeight="14"/>
  <cols>
    <col min="1" max="1" width="29" customWidth="1"/>
    <col min="2" max="2" width="16" customWidth="1"/>
    <col min="3" max="3" width="11" customWidth="1"/>
    <col min="4" max="4" width="27" customWidth="1"/>
    <col min="5" max="5" width="35" customWidth="1"/>
    <col min="6" max="6" width="16" customWidth="1"/>
    <col min="7" max="7" width="21" customWidth="1"/>
    <col min="8" max="8" width="38" customWidth="1"/>
    <col min="9" max="9" width="14" customWidth="1"/>
    <col min="10" max="10" width="16" customWidth="1"/>
    <col min="11" max="11" width="17" customWidth="1"/>
    <col min="12" max="12" width="13" customWidth="1"/>
    <col min="13" max="13" width="46" customWidth="1"/>
    <col min="14" max="14" width="18" customWidth="1"/>
    <col min="15" max="16" width="45" customWidth="1"/>
  </cols>
  <sheetData>
    <row r="1" spans="1:16" ht="30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ht="31" customHeight="1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47" customHeight="1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 spans="1:16">
      <c r="A4" s="2" t="s">
        <v>3</v>
      </c>
      <c r="B4" s="2">
        <v>37</v>
      </c>
      <c r="C4" s="1"/>
      <c r="D4" s="1" t="s">
        <v>4</v>
      </c>
      <c r="E4" s="3">
        <v>15000000</v>
      </c>
      <c r="F4" s="1"/>
      <c r="G4" s="1" t="s">
        <v>5</v>
      </c>
      <c r="H4" s="1" t="s">
        <v>6</v>
      </c>
      <c r="I4" s="1"/>
      <c r="J4" s="1" t="s">
        <v>7</v>
      </c>
      <c r="K4" s="1" t="s">
        <v>8</v>
      </c>
      <c r="L4" s="1"/>
      <c r="M4" s="1"/>
      <c r="N4" s="1"/>
      <c r="O4" s="1"/>
      <c r="P4" s="1"/>
    </row>
    <row r="5" spans="1:16" ht="42" customHeight="1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  <c r="H5" s="4" t="s">
        <v>16</v>
      </c>
      <c r="I5" s="4" t="s">
        <v>17</v>
      </c>
      <c r="J5" s="4" t="s">
        <v>18</v>
      </c>
      <c r="K5" s="4" t="s">
        <v>19</v>
      </c>
      <c r="L5" s="4" t="s">
        <v>20</v>
      </c>
      <c r="M5" s="4" t="s">
        <v>21</v>
      </c>
      <c r="N5" s="4" t="s">
        <v>22</v>
      </c>
      <c r="O5" s="4" t="s">
        <v>23</v>
      </c>
      <c r="P5" s="4" t="s">
        <v>24</v>
      </c>
    </row>
    <row r="6" spans="1:16" ht="46" customHeight="1">
      <c r="A6" s="5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6">
        <v>100</v>
      </c>
      <c r="G6" s="7">
        <v>38700000</v>
      </c>
      <c r="H6" s="5" t="s">
        <v>30</v>
      </c>
      <c r="I6" s="8" t="s">
        <v>31</v>
      </c>
      <c r="J6" s="8" t="s">
        <v>32</v>
      </c>
      <c r="K6" s="8" t="str">
        <f t="shared" ref="K6:K42" si="0">IF(G6="","",IF(G6&gt;=$E$4,"Y","N"))</f>
        <v>Y</v>
      </c>
      <c r="L6" s="8" t="s">
        <v>33</v>
      </c>
      <c r="M6" s="8"/>
      <c r="N6" s="8" t="str">
        <f t="shared" ref="N6:N42" si="1">IF(AND(K6="Y",L6="Y",M6=""),"Y","N")</f>
        <v>Y</v>
      </c>
      <c r="O6" s="5" t="s">
        <v>34</v>
      </c>
      <c r="P6" s="5" t="s">
        <v>35</v>
      </c>
    </row>
    <row r="7" spans="1:16" ht="46" customHeight="1">
      <c r="A7" s="5" t="s">
        <v>36</v>
      </c>
      <c r="B7" s="5" t="s">
        <v>37</v>
      </c>
      <c r="C7" s="5" t="s">
        <v>38</v>
      </c>
      <c r="D7" s="5" t="s">
        <v>39</v>
      </c>
      <c r="E7" s="5" t="s">
        <v>40</v>
      </c>
      <c r="F7" s="6">
        <v>100</v>
      </c>
      <c r="G7" s="7">
        <v>25000000</v>
      </c>
      <c r="H7" s="5" t="s">
        <v>41</v>
      </c>
      <c r="I7" s="8" t="s">
        <v>31</v>
      </c>
      <c r="J7" s="8" t="s">
        <v>32</v>
      </c>
      <c r="K7" s="8" t="str">
        <f t="shared" si="0"/>
        <v>Y</v>
      </c>
      <c r="L7" s="8" t="s">
        <v>33</v>
      </c>
      <c r="M7" s="8"/>
      <c r="N7" s="8" t="str">
        <f t="shared" si="1"/>
        <v>Y</v>
      </c>
      <c r="O7" s="5" t="s">
        <v>42</v>
      </c>
      <c r="P7" s="5" t="s">
        <v>43</v>
      </c>
    </row>
    <row r="8" spans="1:16" ht="46" customHeight="1">
      <c r="A8" s="5" t="s">
        <v>44</v>
      </c>
      <c r="B8" s="5" t="s">
        <v>45</v>
      </c>
      <c r="C8" s="5" t="s">
        <v>38</v>
      </c>
      <c r="D8" s="5" t="s">
        <v>46</v>
      </c>
      <c r="E8" s="5" t="s">
        <v>29</v>
      </c>
      <c r="F8" s="6">
        <v>100</v>
      </c>
      <c r="G8" s="7">
        <v>246287787</v>
      </c>
      <c r="H8" s="5" t="s">
        <v>47</v>
      </c>
      <c r="I8" s="8">
        <v>2025</v>
      </c>
      <c r="J8" s="8" t="s">
        <v>48</v>
      </c>
      <c r="K8" s="8" t="str">
        <f t="shared" si="0"/>
        <v>Y</v>
      </c>
      <c r="L8" s="8" t="s">
        <v>33</v>
      </c>
      <c r="M8" s="8"/>
      <c r="N8" s="8" t="str">
        <f t="shared" si="1"/>
        <v>Y</v>
      </c>
      <c r="O8" s="5" t="s">
        <v>49</v>
      </c>
      <c r="P8" s="5" t="s">
        <v>50</v>
      </c>
    </row>
    <row r="9" spans="1:16" ht="46" customHeight="1">
      <c r="A9" s="5" t="s">
        <v>51</v>
      </c>
      <c r="B9" s="5" t="s">
        <v>52</v>
      </c>
      <c r="C9" s="5" t="s">
        <v>38</v>
      </c>
      <c r="D9" s="5" t="s">
        <v>53</v>
      </c>
      <c r="E9" s="5" t="s">
        <v>40</v>
      </c>
      <c r="F9" s="6">
        <v>99</v>
      </c>
      <c r="G9" s="7">
        <v>44094011</v>
      </c>
      <c r="H9" s="5" t="s">
        <v>54</v>
      </c>
      <c r="I9" s="8">
        <v>2022</v>
      </c>
      <c r="J9" s="8" t="s">
        <v>55</v>
      </c>
      <c r="K9" s="8" t="str">
        <f t="shared" si="0"/>
        <v>Y</v>
      </c>
      <c r="L9" s="8" t="s">
        <v>33</v>
      </c>
      <c r="M9" s="8"/>
      <c r="N9" s="8" t="str">
        <f t="shared" si="1"/>
        <v>Y</v>
      </c>
      <c r="O9" s="5" t="s">
        <v>56</v>
      </c>
      <c r="P9" s="5" t="s">
        <v>57</v>
      </c>
    </row>
    <row r="10" spans="1:16" ht="46" customHeight="1">
      <c r="A10" s="5" t="s">
        <v>58</v>
      </c>
      <c r="B10" s="5" t="s">
        <v>59</v>
      </c>
      <c r="C10" s="5" t="s">
        <v>38</v>
      </c>
      <c r="D10" s="5" t="s">
        <v>46</v>
      </c>
      <c r="E10" s="5" t="s">
        <v>60</v>
      </c>
      <c r="F10" s="6">
        <v>98</v>
      </c>
      <c r="G10" s="7">
        <v>69702836</v>
      </c>
      <c r="H10" s="5" t="s">
        <v>61</v>
      </c>
      <c r="I10" s="8">
        <v>2025</v>
      </c>
      <c r="J10" s="8" t="s">
        <v>48</v>
      </c>
      <c r="K10" s="8" t="str">
        <f t="shared" si="0"/>
        <v>Y</v>
      </c>
      <c r="L10" s="8" t="s">
        <v>33</v>
      </c>
      <c r="M10" s="8"/>
      <c r="N10" s="8" t="str">
        <f t="shared" si="1"/>
        <v>Y</v>
      </c>
      <c r="O10" s="5" t="s">
        <v>62</v>
      </c>
      <c r="P10" s="5" t="s">
        <v>63</v>
      </c>
    </row>
    <row r="11" spans="1:16" ht="46" customHeight="1">
      <c r="A11" s="5" t="s">
        <v>64</v>
      </c>
      <c r="B11" s="5" t="s">
        <v>65</v>
      </c>
      <c r="C11" s="5" t="s">
        <v>66</v>
      </c>
      <c r="D11" s="5" t="s">
        <v>67</v>
      </c>
      <c r="E11" s="5" t="s">
        <v>29</v>
      </c>
      <c r="F11" s="6">
        <v>96</v>
      </c>
      <c r="G11" s="7">
        <v>59741002</v>
      </c>
      <c r="H11" s="5" t="s">
        <v>68</v>
      </c>
      <c r="I11" s="8">
        <v>2024</v>
      </c>
      <c r="J11" s="8" t="s">
        <v>48</v>
      </c>
      <c r="K11" s="8" t="str">
        <f t="shared" si="0"/>
        <v>Y</v>
      </c>
      <c r="L11" s="8" t="s">
        <v>33</v>
      </c>
      <c r="M11" s="8"/>
      <c r="N11" s="8" t="str">
        <f t="shared" si="1"/>
        <v>Y</v>
      </c>
      <c r="O11" s="5" t="s">
        <v>69</v>
      </c>
      <c r="P11" s="5" t="s">
        <v>70</v>
      </c>
    </row>
    <row r="12" spans="1:16" ht="46" customHeight="1">
      <c r="A12" s="5" t="s">
        <v>71</v>
      </c>
      <c r="B12" s="5" t="s">
        <v>72</v>
      </c>
      <c r="C12" s="5" t="s">
        <v>66</v>
      </c>
      <c r="D12" s="5" t="s">
        <v>73</v>
      </c>
      <c r="E12" s="5" t="s">
        <v>74</v>
      </c>
      <c r="F12" s="6">
        <v>96</v>
      </c>
      <c r="G12" s="7">
        <v>150000000</v>
      </c>
      <c r="H12" s="5" t="s">
        <v>75</v>
      </c>
      <c r="I12" s="8">
        <v>2024</v>
      </c>
      <c r="J12" s="8" t="s">
        <v>32</v>
      </c>
      <c r="K12" s="8" t="str">
        <f t="shared" si="0"/>
        <v>Y</v>
      </c>
      <c r="L12" s="8" t="s">
        <v>33</v>
      </c>
      <c r="M12" s="8"/>
      <c r="N12" s="8" t="str">
        <f t="shared" si="1"/>
        <v>Y</v>
      </c>
      <c r="O12" s="5" t="s">
        <v>76</v>
      </c>
      <c r="P12" s="5" t="s">
        <v>77</v>
      </c>
    </row>
    <row r="13" spans="1:16" ht="46" customHeight="1">
      <c r="A13" s="5" t="s">
        <v>78</v>
      </c>
      <c r="B13" s="5" t="s">
        <v>65</v>
      </c>
      <c r="C13" s="5" t="s">
        <v>66</v>
      </c>
      <c r="D13" s="5" t="s">
        <v>79</v>
      </c>
      <c r="E13" s="5" t="s">
        <v>29</v>
      </c>
      <c r="F13" s="6">
        <v>92</v>
      </c>
      <c r="G13" s="7">
        <v>46537062</v>
      </c>
      <c r="H13" s="5" t="s">
        <v>47</v>
      </c>
      <c r="I13" s="8">
        <v>2025</v>
      </c>
      <c r="J13" s="8" t="s">
        <v>48</v>
      </c>
      <c r="K13" s="8" t="str">
        <f t="shared" si="0"/>
        <v>Y</v>
      </c>
      <c r="L13" s="8" t="s">
        <v>33</v>
      </c>
      <c r="M13" s="8"/>
      <c r="N13" s="8" t="str">
        <f t="shared" si="1"/>
        <v>Y</v>
      </c>
      <c r="O13" s="5" t="s">
        <v>80</v>
      </c>
      <c r="P13" s="5" t="s">
        <v>81</v>
      </c>
    </row>
    <row r="14" spans="1:16" ht="46" customHeight="1">
      <c r="A14" s="5" t="s">
        <v>82</v>
      </c>
      <c r="B14" s="5" t="s">
        <v>83</v>
      </c>
      <c r="C14" s="5" t="s">
        <v>66</v>
      </c>
      <c r="D14" s="5" t="s">
        <v>84</v>
      </c>
      <c r="E14" s="5" t="s">
        <v>85</v>
      </c>
      <c r="F14" s="6">
        <v>88</v>
      </c>
      <c r="G14" s="7">
        <v>16317150</v>
      </c>
      <c r="H14" s="5" t="s">
        <v>86</v>
      </c>
      <c r="I14" s="8" t="s">
        <v>31</v>
      </c>
      <c r="J14" s="8" t="s">
        <v>55</v>
      </c>
      <c r="K14" s="8" t="str">
        <f t="shared" si="0"/>
        <v>Y</v>
      </c>
      <c r="L14" s="8" t="s">
        <v>33</v>
      </c>
      <c r="M14" s="8"/>
      <c r="N14" s="8" t="str">
        <f t="shared" si="1"/>
        <v>Y</v>
      </c>
      <c r="O14" s="5" t="s">
        <v>87</v>
      </c>
      <c r="P14" s="5" t="s">
        <v>88</v>
      </c>
    </row>
    <row r="15" spans="1:16" ht="46" customHeight="1">
      <c r="A15" s="5" t="s">
        <v>89</v>
      </c>
      <c r="B15" s="5" t="s">
        <v>90</v>
      </c>
      <c r="C15" s="5" t="s">
        <v>66</v>
      </c>
      <c r="D15" s="5" t="s">
        <v>91</v>
      </c>
      <c r="E15" s="5" t="s">
        <v>29</v>
      </c>
      <c r="F15" s="6">
        <v>86</v>
      </c>
      <c r="G15" s="7">
        <v>40000000</v>
      </c>
      <c r="H15" s="5" t="s">
        <v>92</v>
      </c>
      <c r="I15" s="8">
        <v>2025</v>
      </c>
      <c r="J15" s="8" t="s">
        <v>55</v>
      </c>
      <c r="K15" s="8" t="str">
        <f t="shared" si="0"/>
        <v>Y</v>
      </c>
      <c r="L15" s="8" t="s">
        <v>33</v>
      </c>
      <c r="M15" s="8"/>
      <c r="N15" s="8" t="str">
        <f t="shared" si="1"/>
        <v>Y</v>
      </c>
      <c r="O15" s="5" t="s">
        <v>93</v>
      </c>
      <c r="P15" s="5" t="s">
        <v>94</v>
      </c>
    </row>
    <row r="16" spans="1:16" ht="46" customHeight="1">
      <c r="A16" s="5" t="s">
        <v>95</v>
      </c>
      <c r="B16" s="5" t="s">
        <v>96</v>
      </c>
      <c r="C16" s="5" t="s">
        <v>66</v>
      </c>
      <c r="D16" s="5" t="s">
        <v>97</v>
      </c>
      <c r="E16" s="5" t="s">
        <v>60</v>
      </c>
      <c r="F16" s="6">
        <v>84</v>
      </c>
      <c r="G16" s="7">
        <v>57068690</v>
      </c>
      <c r="H16" s="5" t="s">
        <v>47</v>
      </c>
      <c r="I16" s="8">
        <v>2023</v>
      </c>
      <c r="J16" s="8" t="s">
        <v>48</v>
      </c>
      <c r="K16" s="8" t="str">
        <f t="shared" si="0"/>
        <v>Y</v>
      </c>
      <c r="L16" s="8" t="s">
        <v>33</v>
      </c>
      <c r="M16" s="8"/>
      <c r="N16" s="8" t="str">
        <f t="shared" si="1"/>
        <v>Y</v>
      </c>
      <c r="O16" s="5" t="s">
        <v>98</v>
      </c>
      <c r="P16" s="5" t="s">
        <v>99</v>
      </c>
    </row>
    <row r="17" spans="1:16" ht="46" customHeight="1">
      <c r="A17" s="5" t="s">
        <v>100</v>
      </c>
      <c r="B17" s="5" t="s">
        <v>101</v>
      </c>
      <c r="C17" s="5" t="s">
        <v>66</v>
      </c>
      <c r="D17" s="5" t="s">
        <v>46</v>
      </c>
      <c r="E17" s="5" t="s">
        <v>29</v>
      </c>
      <c r="F17" s="6">
        <v>80</v>
      </c>
      <c r="G17" s="7">
        <v>575678695</v>
      </c>
      <c r="H17" s="5" t="s">
        <v>47</v>
      </c>
      <c r="I17" s="8">
        <v>2025</v>
      </c>
      <c r="J17" s="8" t="s">
        <v>48</v>
      </c>
      <c r="K17" s="8" t="str">
        <f t="shared" si="0"/>
        <v>Y</v>
      </c>
      <c r="L17" s="8" t="s">
        <v>33</v>
      </c>
      <c r="M17" s="8"/>
      <c r="N17" s="8" t="str">
        <f t="shared" si="1"/>
        <v>Y</v>
      </c>
      <c r="O17" s="5" t="s">
        <v>102</v>
      </c>
      <c r="P17" s="5" t="s">
        <v>103</v>
      </c>
    </row>
    <row r="18" spans="1:16" ht="46" customHeight="1">
      <c r="A18" s="5" t="s">
        <v>104</v>
      </c>
      <c r="B18" s="5" t="s">
        <v>105</v>
      </c>
      <c r="C18" s="5" t="s">
        <v>66</v>
      </c>
      <c r="D18" s="5" t="s">
        <v>46</v>
      </c>
      <c r="E18" s="5" t="s">
        <v>60</v>
      </c>
      <c r="F18" s="6">
        <v>75</v>
      </c>
      <c r="G18" s="7">
        <v>272926617</v>
      </c>
      <c r="H18" s="5" t="s">
        <v>47</v>
      </c>
      <c r="I18" s="8">
        <v>2024</v>
      </c>
      <c r="J18" s="8" t="s">
        <v>48</v>
      </c>
      <c r="K18" s="8" t="str">
        <f t="shared" si="0"/>
        <v>Y</v>
      </c>
      <c r="L18" s="8" t="s">
        <v>33</v>
      </c>
      <c r="M18" s="8"/>
      <c r="N18" s="8" t="str">
        <f t="shared" si="1"/>
        <v>Y</v>
      </c>
      <c r="O18" s="5" t="s">
        <v>106</v>
      </c>
      <c r="P18" s="5" t="s">
        <v>107</v>
      </c>
    </row>
    <row r="19" spans="1:16" ht="46" customHeight="1">
      <c r="A19" s="5" t="s">
        <v>108</v>
      </c>
      <c r="B19" s="5" t="s">
        <v>109</v>
      </c>
      <c r="C19" s="5" t="s">
        <v>66</v>
      </c>
      <c r="D19" s="5" t="s">
        <v>110</v>
      </c>
      <c r="E19" s="5" t="s">
        <v>111</v>
      </c>
      <c r="F19" s="6">
        <v>68</v>
      </c>
      <c r="G19" s="7">
        <v>31878806</v>
      </c>
      <c r="H19" s="5" t="s">
        <v>47</v>
      </c>
      <c r="I19" s="8">
        <v>2025</v>
      </c>
      <c r="J19" s="8" t="s">
        <v>48</v>
      </c>
      <c r="K19" s="8" t="str">
        <f t="shared" si="0"/>
        <v>Y</v>
      </c>
      <c r="L19" s="8" t="s">
        <v>33</v>
      </c>
      <c r="M19" s="8"/>
      <c r="N19" s="8" t="str">
        <f t="shared" si="1"/>
        <v>Y</v>
      </c>
      <c r="O19" s="5" t="s">
        <v>112</v>
      </c>
      <c r="P19" s="5" t="s">
        <v>113</v>
      </c>
    </row>
    <row r="20" spans="1:16" ht="46" customHeight="1">
      <c r="A20" s="5" t="s">
        <v>114</v>
      </c>
      <c r="B20" s="5" t="s">
        <v>105</v>
      </c>
      <c r="C20" s="5" t="s">
        <v>66</v>
      </c>
      <c r="D20" s="5" t="s">
        <v>115</v>
      </c>
      <c r="E20" s="5" t="s">
        <v>111</v>
      </c>
      <c r="F20" s="6">
        <v>67</v>
      </c>
      <c r="G20" s="7">
        <v>5051090283</v>
      </c>
      <c r="H20" s="5" t="s">
        <v>116</v>
      </c>
      <c r="I20" s="8">
        <v>2024</v>
      </c>
      <c r="J20" s="8" t="s">
        <v>48</v>
      </c>
      <c r="K20" s="8" t="str">
        <f t="shared" si="0"/>
        <v>Y</v>
      </c>
      <c r="L20" s="8" t="s">
        <v>33</v>
      </c>
      <c r="M20" s="8"/>
      <c r="N20" s="8" t="str">
        <f t="shared" si="1"/>
        <v>Y</v>
      </c>
      <c r="O20" s="5" t="s">
        <v>117</v>
      </c>
      <c r="P20" s="5" t="s">
        <v>118</v>
      </c>
    </row>
    <row r="21" spans="1:16" ht="46" customHeight="1">
      <c r="A21" s="5" t="s">
        <v>119</v>
      </c>
      <c r="B21" s="5" t="s">
        <v>52</v>
      </c>
      <c r="C21" s="5" t="s">
        <v>38</v>
      </c>
      <c r="D21" s="5" t="s">
        <v>120</v>
      </c>
      <c r="E21" s="5" t="s">
        <v>29</v>
      </c>
      <c r="F21" s="6"/>
      <c r="G21" s="7">
        <v>66000000</v>
      </c>
      <c r="H21" s="5" t="s">
        <v>86</v>
      </c>
      <c r="I21" s="8" t="s">
        <v>31</v>
      </c>
      <c r="J21" s="8" t="s">
        <v>55</v>
      </c>
      <c r="K21" s="8" t="str">
        <f t="shared" si="0"/>
        <v>Y</v>
      </c>
      <c r="L21" s="8" t="s">
        <v>33</v>
      </c>
      <c r="M21" s="8"/>
      <c r="N21" s="8" t="str">
        <f t="shared" si="1"/>
        <v>Y</v>
      </c>
      <c r="O21" s="5" t="s">
        <v>121</v>
      </c>
      <c r="P21" s="5" t="s">
        <v>122</v>
      </c>
    </row>
    <row r="22" spans="1:16" ht="46" customHeight="1">
      <c r="A22" s="5" t="s">
        <v>123</v>
      </c>
      <c r="B22" s="5" t="s">
        <v>37</v>
      </c>
      <c r="C22" s="5" t="s">
        <v>38</v>
      </c>
      <c r="D22" s="5" t="s">
        <v>91</v>
      </c>
      <c r="E22" s="5" t="s">
        <v>29</v>
      </c>
      <c r="F22" s="6"/>
      <c r="G22" s="7">
        <v>97976858</v>
      </c>
      <c r="H22" s="5" t="s">
        <v>124</v>
      </c>
      <c r="I22" s="8">
        <v>2025</v>
      </c>
      <c r="J22" s="8" t="s">
        <v>48</v>
      </c>
      <c r="K22" s="8" t="str">
        <f t="shared" si="0"/>
        <v>Y</v>
      </c>
      <c r="L22" s="8" t="s">
        <v>33</v>
      </c>
      <c r="M22" s="8"/>
      <c r="N22" s="8" t="str">
        <f t="shared" si="1"/>
        <v>Y</v>
      </c>
      <c r="O22" s="5" t="s">
        <v>125</v>
      </c>
      <c r="P22" s="5" t="s">
        <v>126</v>
      </c>
    </row>
    <row r="23" spans="1:16" ht="46" customHeight="1">
      <c r="A23" s="5" t="s">
        <v>127</v>
      </c>
      <c r="B23" s="5" t="s">
        <v>128</v>
      </c>
      <c r="C23" s="5" t="s">
        <v>66</v>
      </c>
      <c r="D23" s="5" t="s">
        <v>46</v>
      </c>
      <c r="E23" s="5" t="s">
        <v>29</v>
      </c>
      <c r="F23" s="6"/>
      <c r="G23" s="7">
        <v>120000000</v>
      </c>
      <c r="H23" s="5" t="s">
        <v>129</v>
      </c>
      <c r="I23" s="8">
        <v>2025</v>
      </c>
      <c r="J23" s="8" t="s">
        <v>55</v>
      </c>
      <c r="K23" s="8" t="str">
        <f t="shared" si="0"/>
        <v>Y</v>
      </c>
      <c r="L23" s="8" t="s">
        <v>33</v>
      </c>
      <c r="M23" s="8"/>
      <c r="N23" s="8" t="str">
        <f t="shared" si="1"/>
        <v>Y</v>
      </c>
      <c r="O23" s="5" t="s">
        <v>130</v>
      </c>
      <c r="P23" s="5" t="s">
        <v>131</v>
      </c>
    </row>
    <row r="24" spans="1:16" ht="46" customHeight="1">
      <c r="A24" s="5" t="s">
        <v>132</v>
      </c>
      <c r="B24" s="5" t="s">
        <v>133</v>
      </c>
      <c r="C24" s="5" t="s">
        <v>66</v>
      </c>
      <c r="D24" s="5" t="s">
        <v>134</v>
      </c>
      <c r="E24" s="5" t="s">
        <v>74</v>
      </c>
      <c r="F24" s="6"/>
      <c r="G24" s="7">
        <v>15500000</v>
      </c>
      <c r="H24" s="5" t="s">
        <v>86</v>
      </c>
      <c r="I24" s="8" t="s">
        <v>31</v>
      </c>
      <c r="J24" s="8" t="s">
        <v>55</v>
      </c>
      <c r="K24" s="8" t="str">
        <f t="shared" si="0"/>
        <v>Y</v>
      </c>
      <c r="L24" s="8" t="s">
        <v>33</v>
      </c>
      <c r="M24" s="8"/>
      <c r="N24" s="8" t="str">
        <f t="shared" si="1"/>
        <v>Y</v>
      </c>
      <c r="O24" s="5" t="s">
        <v>135</v>
      </c>
      <c r="P24" s="5" t="s">
        <v>136</v>
      </c>
    </row>
    <row r="25" spans="1:16" ht="46" customHeight="1">
      <c r="A25" s="5" t="s">
        <v>137</v>
      </c>
      <c r="B25" s="5" t="s">
        <v>138</v>
      </c>
      <c r="C25" s="5" t="s">
        <v>66</v>
      </c>
      <c r="D25" s="5" t="s">
        <v>139</v>
      </c>
      <c r="E25" s="5" t="s">
        <v>29</v>
      </c>
      <c r="F25" s="6"/>
      <c r="G25" s="7">
        <v>250000000</v>
      </c>
      <c r="H25" s="5" t="s">
        <v>140</v>
      </c>
      <c r="I25" s="8" t="s">
        <v>31</v>
      </c>
      <c r="J25" s="8" t="s">
        <v>32</v>
      </c>
      <c r="K25" s="8" t="str">
        <f t="shared" si="0"/>
        <v>Y</v>
      </c>
      <c r="L25" s="8" t="s">
        <v>33</v>
      </c>
      <c r="M25" s="8"/>
      <c r="N25" s="8" t="str">
        <f t="shared" si="1"/>
        <v>Y</v>
      </c>
      <c r="O25" s="5" t="s">
        <v>141</v>
      </c>
      <c r="P25" s="5" t="s">
        <v>142</v>
      </c>
    </row>
    <row r="26" spans="1:16" ht="46" customHeight="1">
      <c r="A26" s="5" t="s">
        <v>143</v>
      </c>
      <c r="B26" s="5" t="s">
        <v>144</v>
      </c>
      <c r="C26" s="5" t="s">
        <v>66</v>
      </c>
      <c r="D26" s="5" t="s">
        <v>145</v>
      </c>
      <c r="E26" s="5" t="s">
        <v>29</v>
      </c>
      <c r="F26" s="6"/>
      <c r="G26" s="7">
        <v>122500000</v>
      </c>
      <c r="H26" s="5" t="s">
        <v>146</v>
      </c>
      <c r="I26" s="8" t="s">
        <v>31</v>
      </c>
      <c r="J26" s="8" t="s">
        <v>55</v>
      </c>
      <c r="K26" s="8" t="str">
        <f t="shared" si="0"/>
        <v>Y</v>
      </c>
      <c r="L26" s="8" t="s">
        <v>33</v>
      </c>
      <c r="M26" s="8"/>
      <c r="N26" s="8" t="str">
        <f t="shared" si="1"/>
        <v>Y</v>
      </c>
      <c r="O26" s="5" t="s">
        <v>147</v>
      </c>
      <c r="P26" s="5" t="s">
        <v>148</v>
      </c>
    </row>
    <row r="27" spans="1:16" ht="46" customHeight="1">
      <c r="A27" s="5" t="s">
        <v>149</v>
      </c>
      <c r="B27" s="5" t="s">
        <v>150</v>
      </c>
      <c r="C27" s="5" t="s">
        <v>66</v>
      </c>
      <c r="D27" s="5" t="s">
        <v>151</v>
      </c>
      <c r="E27" s="5" t="s">
        <v>29</v>
      </c>
      <c r="F27" s="6"/>
      <c r="G27" s="7">
        <v>21300000</v>
      </c>
      <c r="H27" s="5" t="s">
        <v>146</v>
      </c>
      <c r="I27" s="8" t="s">
        <v>31</v>
      </c>
      <c r="J27" s="8" t="s">
        <v>55</v>
      </c>
      <c r="K27" s="8" t="str">
        <f t="shared" si="0"/>
        <v>Y</v>
      </c>
      <c r="L27" s="8" t="s">
        <v>33</v>
      </c>
      <c r="M27" s="8"/>
      <c r="N27" s="8" t="str">
        <f t="shared" si="1"/>
        <v>Y</v>
      </c>
      <c r="O27" s="5" t="s">
        <v>152</v>
      </c>
      <c r="P27" s="5" t="s">
        <v>153</v>
      </c>
    </row>
    <row r="28" spans="1:16" ht="46" customHeight="1">
      <c r="A28" s="5" t="s">
        <v>154</v>
      </c>
      <c r="B28" s="5" t="s">
        <v>155</v>
      </c>
      <c r="C28" s="5" t="s">
        <v>66</v>
      </c>
      <c r="D28" s="5" t="s">
        <v>91</v>
      </c>
      <c r="E28" s="5" t="s">
        <v>29</v>
      </c>
      <c r="F28" s="6"/>
      <c r="G28" s="7">
        <v>120000000</v>
      </c>
      <c r="H28" s="5" t="s">
        <v>92</v>
      </c>
      <c r="I28" s="8">
        <v>2025</v>
      </c>
      <c r="J28" s="8" t="s">
        <v>55</v>
      </c>
      <c r="K28" s="8" t="str">
        <f t="shared" si="0"/>
        <v>Y</v>
      </c>
      <c r="L28" s="8" t="s">
        <v>33</v>
      </c>
      <c r="M28" s="8"/>
      <c r="N28" s="8" t="str">
        <f t="shared" si="1"/>
        <v>Y</v>
      </c>
      <c r="O28" s="5" t="s">
        <v>156</v>
      </c>
      <c r="P28" s="5" t="s">
        <v>157</v>
      </c>
    </row>
    <row r="29" spans="1:16" ht="46" customHeight="1">
      <c r="A29" s="5" t="s">
        <v>158</v>
      </c>
      <c r="B29" s="5" t="s">
        <v>159</v>
      </c>
      <c r="C29" s="5" t="s">
        <v>66</v>
      </c>
      <c r="D29" s="5" t="s">
        <v>91</v>
      </c>
      <c r="E29" s="5" t="s">
        <v>29</v>
      </c>
      <c r="F29" s="6"/>
      <c r="G29" s="7">
        <v>67000000</v>
      </c>
      <c r="H29" s="5" t="s">
        <v>92</v>
      </c>
      <c r="I29" s="8">
        <v>2025</v>
      </c>
      <c r="J29" s="8" t="s">
        <v>55</v>
      </c>
      <c r="K29" s="8" t="str">
        <f t="shared" si="0"/>
        <v>Y</v>
      </c>
      <c r="L29" s="8" t="s">
        <v>33</v>
      </c>
      <c r="M29" s="8"/>
      <c r="N29" s="8" t="str">
        <f t="shared" si="1"/>
        <v>Y</v>
      </c>
      <c r="O29" s="5" t="s">
        <v>160</v>
      </c>
      <c r="P29" s="5" t="s">
        <v>161</v>
      </c>
    </row>
    <row r="30" spans="1:16" ht="46" customHeight="1">
      <c r="A30" s="5" t="s">
        <v>162</v>
      </c>
      <c r="B30" s="5" t="s">
        <v>163</v>
      </c>
      <c r="C30" s="5" t="s">
        <v>66</v>
      </c>
      <c r="D30" s="5" t="s">
        <v>164</v>
      </c>
      <c r="E30" s="5" t="s">
        <v>29</v>
      </c>
      <c r="F30" s="6"/>
      <c r="G30" s="7">
        <v>22200000</v>
      </c>
      <c r="H30" s="5" t="s">
        <v>86</v>
      </c>
      <c r="I30" s="8" t="s">
        <v>31</v>
      </c>
      <c r="J30" s="8" t="s">
        <v>55</v>
      </c>
      <c r="K30" s="8" t="str">
        <f t="shared" si="0"/>
        <v>Y</v>
      </c>
      <c r="L30" s="8" t="s">
        <v>33</v>
      </c>
      <c r="M30" s="8"/>
      <c r="N30" s="8" t="str">
        <f t="shared" si="1"/>
        <v>Y</v>
      </c>
      <c r="O30" s="5" t="s">
        <v>165</v>
      </c>
      <c r="P30" s="5" t="s">
        <v>166</v>
      </c>
    </row>
    <row r="31" spans="1:16" ht="46" customHeight="1">
      <c r="A31" s="5" t="s">
        <v>167</v>
      </c>
      <c r="B31" s="5" t="s">
        <v>96</v>
      </c>
      <c r="C31" s="5" t="s">
        <v>66</v>
      </c>
      <c r="D31" s="5" t="s">
        <v>168</v>
      </c>
      <c r="E31" s="5" t="s">
        <v>29</v>
      </c>
      <c r="F31" s="6"/>
      <c r="G31" s="7">
        <v>27500156</v>
      </c>
      <c r="H31" s="5" t="s">
        <v>47</v>
      </c>
      <c r="I31" s="8">
        <v>2023</v>
      </c>
      <c r="J31" s="8" t="s">
        <v>48</v>
      </c>
      <c r="K31" s="8" t="str">
        <f t="shared" si="0"/>
        <v>Y</v>
      </c>
      <c r="L31" s="8" t="s">
        <v>33</v>
      </c>
      <c r="M31" s="8"/>
      <c r="N31" s="8" t="str">
        <f t="shared" si="1"/>
        <v>Y</v>
      </c>
      <c r="O31" s="5" t="s">
        <v>169</v>
      </c>
      <c r="P31" s="5" t="s">
        <v>170</v>
      </c>
    </row>
    <row r="32" spans="1:16" ht="46" customHeight="1">
      <c r="A32" s="5" t="s">
        <v>171</v>
      </c>
      <c r="B32" s="5" t="s">
        <v>59</v>
      </c>
      <c r="C32" s="5" t="s">
        <v>38</v>
      </c>
      <c r="D32" s="5" t="s">
        <v>172</v>
      </c>
      <c r="E32" s="5" t="s">
        <v>29</v>
      </c>
      <c r="F32" s="6"/>
      <c r="G32" s="7">
        <v>33555002</v>
      </c>
      <c r="H32" s="5" t="s">
        <v>47</v>
      </c>
      <c r="I32" s="8">
        <v>2025</v>
      </c>
      <c r="J32" s="8" t="s">
        <v>48</v>
      </c>
      <c r="K32" s="8" t="str">
        <f t="shared" si="0"/>
        <v>Y</v>
      </c>
      <c r="L32" s="8" t="s">
        <v>33</v>
      </c>
      <c r="M32" s="8"/>
      <c r="N32" s="8" t="str">
        <f t="shared" si="1"/>
        <v>Y</v>
      </c>
      <c r="O32" s="5" t="s">
        <v>173</v>
      </c>
      <c r="P32" s="5" t="s">
        <v>174</v>
      </c>
    </row>
    <row r="33" spans="1:16" ht="46" customHeight="1">
      <c r="A33" s="5" t="s">
        <v>175</v>
      </c>
      <c r="B33" s="5" t="s">
        <v>176</v>
      </c>
      <c r="C33" s="5" t="s">
        <v>27</v>
      </c>
      <c r="D33" s="5" t="s">
        <v>177</v>
      </c>
      <c r="E33" s="5" t="s">
        <v>29</v>
      </c>
      <c r="F33" s="6"/>
      <c r="G33" s="7">
        <v>37500000</v>
      </c>
      <c r="H33" s="5" t="s">
        <v>178</v>
      </c>
      <c r="I33" s="8" t="s">
        <v>31</v>
      </c>
      <c r="J33" s="8" t="s">
        <v>55</v>
      </c>
      <c r="K33" s="8" t="str">
        <f t="shared" si="0"/>
        <v>Y</v>
      </c>
      <c r="L33" s="8" t="s">
        <v>33</v>
      </c>
      <c r="M33" s="8"/>
      <c r="N33" s="8" t="str">
        <f t="shared" si="1"/>
        <v>Y</v>
      </c>
      <c r="O33" s="5" t="s">
        <v>179</v>
      </c>
      <c r="P33" s="5" t="s">
        <v>180</v>
      </c>
    </row>
    <row r="34" spans="1:16" ht="46" customHeight="1">
      <c r="A34" s="5" t="s">
        <v>181</v>
      </c>
      <c r="B34" s="5" t="s">
        <v>182</v>
      </c>
      <c r="C34" s="5" t="s">
        <v>66</v>
      </c>
      <c r="D34" s="5" t="s">
        <v>46</v>
      </c>
      <c r="E34" s="5" t="s">
        <v>29</v>
      </c>
      <c r="F34" s="6"/>
      <c r="G34" s="7">
        <v>240000000</v>
      </c>
      <c r="H34" s="5" t="s">
        <v>129</v>
      </c>
      <c r="I34" s="8">
        <v>2025</v>
      </c>
      <c r="J34" s="8" t="s">
        <v>55</v>
      </c>
      <c r="K34" s="8" t="str">
        <f t="shared" si="0"/>
        <v>Y</v>
      </c>
      <c r="L34" s="8" t="s">
        <v>33</v>
      </c>
      <c r="M34" s="8"/>
      <c r="N34" s="8" t="str">
        <f t="shared" si="1"/>
        <v>Y</v>
      </c>
      <c r="O34" s="5" t="s">
        <v>183</v>
      </c>
      <c r="P34" s="5" t="s">
        <v>131</v>
      </c>
    </row>
    <row r="35" spans="1:16" ht="46" customHeight="1">
      <c r="A35" s="5" t="s">
        <v>184</v>
      </c>
      <c r="B35" s="5" t="s">
        <v>185</v>
      </c>
      <c r="C35" s="5" t="s">
        <v>66</v>
      </c>
      <c r="D35" s="5" t="s">
        <v>91</v>
      </c>
      <c r="E35" s="5" t="s">
        <v>29</v>
      </c>
      <c r="F35" s="6"/>
      <c r="G35" s="7">
        <v>115000000</v>
      </c>
      <c r="H35" s="5" t="s">
        <v>92</v>
      </c>
      <c r="I35" s="8">
        <v>2025</v>
      </c>
      <c r="J35" s="8" t="s">
        <v>55</v>
      </c>
      <c r="K35" s="8" t="str">
        <f t="shared" si="0"/>
        <v>Y</v>
      </c>
      <c r="L35" s="8" t="s">
        <v>33</v>
      </c>
      <c r="M35" s="8"/>
      <c r="N35" s="8" t="str">
        <f t="shared" si="1"/>
        <v>Y</v>
      </c>
      <c r="O35" s="5" t="s">
        <v>186</v>
      </c>
      <c r="P35" s="5" t="s">
        <v>187</v>
      </c>
    </row>
    <row r="36" spans="1:16" ht="46" customHeight="1">
      <c r="A36" s="5" t="s">
        <v>188</v>
      </c>
      <c r="B36" s="5" t="s">
        <v>189</v>
      </c>
      <c r="C36" s="5" t="s">
        <v>27</v>
      </c>
      <c r="D36" s="5" t="s">
        <v>46</v>
      </c>
      <c r="E36" s="5" t="s">
        <v>29</v>
      </c>
      <c r="F36" s="6"/>
      <c r="G36" s="7">
        <v>65615423</v>
      </c>
      <c r="H36" s="5" t="s">
        <v>190</v>
      </c>
      <c r="I36" s="8">
        <v>2025</v>
      </c>
      <c r="J36" s="8" t="s">
        <v>48</v>
      </c>
      <c r="K36" s="8" t="str">
        <f t="shared" si="0"/>
        <v>Y</v>
      </c>
      <c r="L36" s="8" t="s">
        <v>33</v>
      </c>
      <c r="M36" s="8"/>
      <c r="N36" s="8" t="str">
        <f t="shared" si="1"/>
        <v>Y</v>
      </c>
      <c r="O36" s="5" t="s">
        <v>191</v>
      </c>
      <c r="P36" s="5" t="s">
        <v>192</v>
      </c>
    </row>
    <row r="37" spans="1:16" ht="46" customHeight="1">
      <c r="A37" s="5" t="s">
        <v>193</v>
      </c>
      <c r="B37" s="5" t="s">
        <v>194</v>
      </c>
      <c r="C37" s="5" t="s">
        <v>66</v>
      </c>
      <c r="D37" s="5" t="s">
        <v>195</v>
      </c>
      <c r="E37" s="5" t="s">
        <v>29</v>
      </c>
      <c r="F37" s="6"/>
      <c r="G37" s="7">
        <v>80400000</v>
      </c>
      <c r="H37" s="5" t="s">
        <v>47</v>
      </c>
      <c r="I37" s="8">
        <v>2024</v>
      </c>
      <c r="J37" s="8" t="s">
        <v>48</v>
      </c>
      <c r="K37" s="8" t="str">
        <f t="shared" si="0"/>
        <v>Y</v>
      </c>
      <c r="L37" s="8" t="s">
        <v>33</v>
      </c>
      <c r="M37" s="8"/>
      <c r="N37" s="8" t="str">
        <f t="shared" si="1"/>
        <v>Y</v>
      </c>
      <c r="O37" s="5" t="s">
        <v>196</v>
      </c>
      <c r="P37" s="5" t="s">
        <v>197</v>
      </c>
    </row>
    <row r="38" spans="1:16" ht="46" customHeight="1">
      <c r="A38" s="5" t="s">
        <v>198</v>
      </c>
      <c r="B38" s="5" t="s">
        <v>199</v>
      </c>
      <c r="C38" s="5" t="s">
        <v>66</v>
      </c>
      <c r="D38" s="5" t="s">
        <v>200</v>
      </c>
      <c r="E38" s="5" t="s">
        <v>29</v>
      </c>
      <c r="F38" s="6"/>
      <c r="G38" s="7">
        <v>44700000</v>
      </c>
      <c r="H38" s="5" t="s">
        <v>146</v>
      </c>
      <c r="I38" s="8" t="s">
        <v>31</v>
      </c>
      <c r="J38" s="8" t="s">
        <v>55</v>
      </c>
      <c r="K38" s="8" t="str">
        <f t="shared" si="0"/>
        <v>Y</v>
      </c>
      <c r="L38" s="8" t="s">
        <v>33</v>
      </c>
      <c r="M38" s="8"/>
      <c r="N38" s="8" t="str">
        <f t="shared" si="1"/>
        <v>Y</v>
      </c>
      <c r="O38" s="5" t="s">
        <v>201</v>
      </c>
      <c r="P38" s="5" t="s">
        <v>202</v>
      </c>
    </row>
    <row r="39" spans="1:16" ht="46" customHeight="1">
      <c r="A39" s="5" t="s">
        <v>203</v>
      </c>
      <c r="B39" s="5" t="s">
        <v>59</v>
      </c>
      <c r="C39" s="5" t="s">
        <v>38</v>
      </c>
      <c r="D39" s="5" t="s">
        <v>204</v>
      </c>
      <c r="E39" s="5" t="s">
        <v>29</v>
      </c>
      <c r="F39" s="6"/>
      <c r="G39" s="7">
        <v>17500000</v>
      </c>
      <c r="H39" s="5" t="s">
        <v>205</v>
      </c>
      <c r="I39" s="8" t="s">
        <v>31</v>
      </c>
      <c r="J39" s="8" t="s">
        <v>32</v>
      </c>
      <c r="K39" s="8" t="str">
        <f t="shared" si="0"/>
        <v>Y</v>
      </c>
      <c r="L39" s="8" t="s">
        <v>33</v>
      </c>
      <c r="M39" s="8"/>
      <c r="N39" s="8" t="str">
        <f t="shared" si="1"/>
        <v>Y</v>
      </c>
      <c r="O39" s="5" t="s">
        <v>206</v>
      </c>
      <c r="P39" s="5" t="s">
        <v>207</v>
      </c>
    </row>
    <row r="40" spans="1:16" ht="46" customHeight="1">
      <c r="A40" s="5" t="s">
        <v>208</v>
      </c>
      <c r="B40" s="5" t="s">
        <v>182</v>
      </c>
      <c r="C40" s="5" t="s">
        <v>66</v>
      </c>
      <c r="D40" s="5" t="s">
        <v>209</v>
      </c>
      <c r="E40" s="5" t="s">
        <v>74</v>
      </c>
      <c r="F40" s="6"/>
      <c r="G40" s="7">
        <v>50041892</v>
      </c>
      <c r="H40" s="5" t="s">
        <v>86</v>
      </c>
      <c r="I40" s="8" t="s">
        <v>31</v>
      </c>
      <c r="J40" s="8" t="s">
        <v>55</v>
      </c>
      <c r="K40" s="8" t="str">
        <f t="shared" si="0"/>
        <v>Y</v>
      </c>
      <c r="L40" s="8" t="s">
        <v>33</v>
      </c>
      <c r="M40" s="8"/>
      <c r="N40" s="8" t="str">
        <f t="shared" si="1"/>
        <v>Y</v>
      </c>
      <c r="O40" s="5" t="s">
        <v>210</v>
      </c>
      <c r="P40" s="5" t="s">
        <v>211</v>
      </c>
    </row>
    <row r="41" spans="1:16" ht="46" customHeight="1">
      <c r="A41" s="5" t="s">
        <v>212</v>
      </c>
      <c r="B41" s="5" t="s">
        <v>59</v>
      </c>
      <c r="C41" s="5" t="s">
        <v>38</v>
      </c>
      <c r="D41" s="5" t="s">
        <v>213</v>
      </c>
      <c r="E41" s="5" t="s">
        <v>29</v>
      </c>
      <c r="F41" s="6"/>
      <c r="G41" s="7">
        <v>2656687000</v>
      </c>
      <c r="H41" s="5" t="s">
        <v>214</v>
      </c>
      <c r="I41" s="8">
        <v>2025</v>
      </c>
      <c r="J41" s="8" t="s">
        <v>48</v>
      </c>
      <c r="K41" s="8" t="str">
        <f t="shared" si="0"/>
        <v>Y</v>
      </c>
      <c r="L41" s="8" t="s">
        <v>33</v>
      </c>
      <c r="M41" s="8"/>
      <c r="N41" s="8" t="str">
        <f t="shared" si="1"/>
        <v>Y</v>
      </c>
      <c r="O41" s="5" t="s">
        <v>215</v>
      </c>
      <c r="P41" s="5" t="s">
        <v>216</v>
      </c>
    </row>
    <row r="42" spans="1:16" ht="46" customHeight="1">
      <c r="A42" s="5" t="s">
        <v>217</v>
      </c>
      <c r="B42" s="5" t="s">
        <v>218</v>
      </c>
      <c r="C42" s="5" t="s">
        <v>27</v>
      </c>
      <c r="D42" s="5" t="s">
        <v>46</v>
      </c>
      <c r="E42" s="5" t="s">
        <v>29</v>
      </c>
      <c r="F42" s="6"/>
      <c r="G42" s="7">
        <v>327504520</v>
      </c>
      <c r="H42" s="5" t="s">
        <v>47</v>
      </c>
      <c r="I42" s="8">
        <v>2024</v>
      </c>
      <c r="J42" s="8" t="s">
        <v>48</v>
      </c>
      <c r="K42" s="8" t="str">
        <f t="shared" si="0"/>
        <v>Y</v>
      </c>
      <c r="L42" s="8" t="s">
        <v>33</v>
      </c>
      <c r="M42" s="8"/>
      <c r="N42" s="8" t="str">
        <f t="shared" si="1"/>
        <v>Y</v>
      </c>
      <c r="O42" s="5" t="s">
        <v>219</v>
      </c>
      <c r="P42" s="5" t="s">
        <v>220</v>
      </c>
    </row>
  </sheetData>
  <mergeCells count="3">
    <mergeCell ref="A1:P1"/>
    <mergeCell ref="A2:P2"/>
    <mergeCell ref="A3:P3"/>
  </mergeCells>
  <conditionalFormatting sqref="A6:P42">
    <cfRule type="expression" dxfId="9" priority="1">
      <formula>MOD(ROW(),2)=0</formula>
    </cfRule>
  </conditionalFormatting>
  <conditionalFormatting sqref="K6:K42">
    <cfRule type="expression" dxfId="8" priority="2">
      <formula>K6="Y"</formula>
    </cfRule>
    <cfRule type="expression" dxfId="7" priority="3">
      <formula>K6="N"</formula>
    </cfRule>
  </conditionalFormatting>
  <conditionalFormatting sqref="N6:N42">
    <cfRule type="expression" dxfId="6" priority="4">
      <formula>N6="Y"</formula>
    </cfRule>
    <cfRule type="expression" dxfId="5" priority="5">
      <formula>N6="N"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8"/>
  <sheetViews>
    <sheetView showGridLines="0" workbookViewId="0"/>
  </sheetViews>
  <sheetFormatPr baseColWidth="10" defaultColWidth="8.83203125" defaultRowHeight="14"/>
  <cols>
    <col min="1" max="1" width="29" customWidth="1"/>
    <col min="2" max="2" width="16" customWidth="1"/>
    <col min="3" max="3" width="11" customWidth="1"/>
    <col min="4" max="4" width="27" customWidth="1"/>
    <col min="5" max="5" width="35" customWidth="1"/>
    <col min="6" max="6" width="16" customWidth="1"/>
    <col min="7" max="7" width="21" customWidth="1"/>
    <col min="8" max="8" width="38" customWidth="1"/>
    <col min="9" max="9" width="14" customWidth="1"/>
    <col min="10" max="10" width="16" customWidth="1"/>
    <col min="11" max="11" width="17" customWidth="1"/>
    <col min="12" max="12" width="13" customWidth="1"/>
    <col min="13" max="13" width="46" customWidth="1"/>
    <col min="14" max="14" width="18" customWidth="1"/>
    <col min="15" max="16" width="45" customWidth="1"/>
  </cols>
  <sheetData>
    <row r="1" spans="1:16" ht="30" customHeight="1">
      <c r="A1" s="10" t="s">
        <v>221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ht="31" customHeight="1">
      <c r="A2" s="11" t="s">
        <v>222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47" customHeight="1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 spans="1:16">
      <c r="A4" s="9" t="s">
        <v>223</v>
      </c>
      <c r="B4" s="9">
        <v>153</v>
      </c>
      <c r="C4" s="1"/>
      <c r="D4" s="1" t="s">
        <v>4</v>
      </c>
      <c r="E4" s="3">
        <v>15000000</v>
      </c>
      <c r="F4" s="1"/>
      <c r="G4" s="1" t="s">
        <v>5</v>
      </c>
      <c r="H4" s="1" t="s">
        <v>6</v>
      </c>
      <c r="I4" s="1"/>
      <c r="J4" s="1" t="s">
        <v>7</v>
      </c>
      <c r="K4" s="1" t="s">
        <v>224</v>
      </c>
      <c r="L4" s="1"/>
      <c r="M4" s="1"/>
      <c r="N4" s="1"/>
      <c r="O4" s="1"/>
      <c r="P4" s="1"/>
    </row>
    <row r="5" spans="1:16" ht="42" customHeight="1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  <c r="H5" s="4" t="s">
        <v>16</v>
      </c>
      <c r="I5" s="4" t="s">
        <v>17</v>
      </c>
      <c r="J5" s="4" t="s">
        <v>18</v>
      </c>
      <c r="K5" s="4" t="s">
        <v>19</v>
      </c>
      <c r="L5" s="4" t="s">
        <v>20</v>
      </c>
      <c r="M5" s="4" t="s">
        <v>21</v>
      </c>
      <c r="N5" s="4" t="s">
        <v>22</v>
      </c>
      <c r="O5" s="4" t="s">
        <v>23</v>
      </c>
      <c r="P5" s="4" t="s">
        <v>24</v>
      </c>
    </row>
    <row r="6" spans="1:16" ht="46" customHeight="1">
      <c r="A6" s="5" t="s">
        <v>225</v>
      </c>
      <c r="B6" s="5" t="s">
        <v>226</v>
      </c>
      <c r="C6" s="5" t="s">
        <v>27</v>
      </c>
      <c r="D6" s="5" t="s">
        <v>227</v>
      </c>
      <c r="E6" s="5" t="s">
        <v>29</v>
      </c>
      <c r="F6" s="6">
        <v>88</v>
      </c>
      <c r="G6" s="7"/>
      <c r="H6" s="5"/>
      <c r="I6" s="8"/>
      <c r="J6" s="8"/>
      <c r="K6" s="8" t="str">
        <f t="shared" ref="K6:K37" si="0">IF(G6="","",IF(G6&gt;=$E$4,"Y","N"))</f>
        <v/>
      </c>
      <c r="L6" s="8" t="s">
        <v>228</v>
      </c>
      <c r="M6" s="8" t="s">
        <v>229</v>
      </c>
      <c r="N6" s="8" t="str">
        <f t="shared" ref="N6:N37" si="1">IF(AND(K6="Y",L6="Y",M6=""),"Y","N")</f>
        <v>N</v>
      </c>
      <c r="O6" s="5" t="s">
        <v>230</v>
      </c>
      <c r="P6" s="5"/>
    </row>
    <row r="7" spans="1:16" ht="46" customHeight="1">
      <c r="A7" s="5" t="s">
        <v>231</v>
      </c>
      <c r="B7" s="5" t="s">
        <v>232</v>
      </c>
      <c r="C7" s="5" t="s">
        <v>27</v>
      </c>
      <c r="D7" s="5" t="s">
        <v>233</v>
      </c>
      <c r="E7" s="5" t="s">
        <v>29</v>
      </c>
      <c r="F7" s="6">
        <v>90</v>
      </c>
      <c r="G7" s="7"/>
      <c r="H7" s="5"/>
      <c r="I7" s="8"/>
      <c r="J7" s="8"/>
      <c r="K7" s="8" t="str">
        <f t="shared" si="0"/>
        <v/>
      </c>
      <c r="L7" s="8" t="s">
        <v>228</v>
      </c>
      <c r="M7" s="8" t="s">
        <v>234</v>
      </c>
      <c r="N7" s="8" t="str">
        <f t="shared" si="1"/>
        <v>N</v>
      </c>
      <c r="O7" s="5" t="s">
        <v>235</v>
      </c>
      <c r="P7" s="5"/>
    </row>
    <row r="8" spans="1:16" ht="46" customHeight="1">
      <c r="A8" s="5" t="s">
        <v>236</v>
      </c>
      <c r="B8" s="5" t="s">
        <v>237</v>
      </c>
      <c r="C8" s="5" t="s">
        <v>27</v>
      </c>
      <c r="D8" s="5" t="s">
        <v>238</v>
      </c>
      <c r="E8" s="5" t="s">
        <v>74</v>
      </c>
      <c r="F8" s="6"/>
      <c r="G8" s="7"/>
      <c r="H8" s="5"/>
      <c r="I8" s="8"/>
      <c r="J8" s="8"/>
      <c r="K8" s="8" t="str">
        <f t="shared" si="0"/>
        <v/>
      </c>
      <c r="L8" s="8" t="s">
        <v>228</v>
      </c>
      <c r="M8" s="8" t="s">
        <v>239</v>
      </c>
      <c r="N8" s="8" t="str">
        <f t="shared" si="1"/>
        <v>N</v>
      </c>
      <c r="O8" s="5" t="s">
        <v>240</v>
      </c>
      <c r="P8" s="5"/>
    </row>
    <row r="9" spans="1:16" ht="46" customHeight="1">
      <c r="A9" s="5" t="s">
        <v>241</v>
      </c>
      <c r="B9" s="5" t="s">
        <v>242</v>
      </c>
      <c r="C9" s="5" t="s">
        <v>27</v>
      </c>
      <c r="D9" s="5" t="s">
        <v>243</v>
      </c>
      <c r="E9" s="5" t="s">
        <v>29</v>
      </c>
      <c r="F9" s="6"/>
      <c r="G9" s="7"/>
      <c r="H9" s="5"/>
      <c r="I9" s="8"/>
      <c r="J9" s="8"/>
      <c r="K9" s="8" t="str">
        <f t="shared" si="0"/>
        <v/>
      </c>
      <c r="L9" s="8" t="s">
        <v>228</v>
      </c>
      <c r="M9" s="8" t="s">
        <v>244</v>
      </c>
      <c r="N9" s="8" t="str">
        <f t="shared" si="1"/>
        <v>N</v>
      </c>
      <c r="O9" s="5" t="s">
        <v>245</v>
      </c>
      <c r="P9" s="5"/>
    </row>
    <row r="10" spans="1:16" ht="46" customHeight="1">
      <c r="A10" s="5" t="s">
        <v>246</v>
      </c>
      <c r="B10" s="5" t="s">
        <v>247</v>
      </c>
      <c r="C10" s="5" t="s">
        <v>27</v>
      </c>
      <c r="D10" s="5" t="s">
        <v>248</v>
      </c>
      <c r="E10" s="5" t="s">
        <v>29</v>
      </c>
      <c r="F10" s="6">
        <v>77</v>
      </c>
      <c r="G10" s="7"/>
      <c r="H10" s="5"/>
      <c r="I10" s="8"/>
      <c r="J10" s="8"/>
      <c r="K10" s="8" t="str">
        <f t="shared" si="0"/>
        <v/>
      </c>
      <c r="L10" s="8" t="s">
        <v>228</v>
      </c>
      <c r="M10" s="8" t="s">
        <v>249</v>
      </c>
      <c r="N10" s="8" t="str">
        <f t="shared" si="1"/>
        <v>N</v>
      </c>
      <c r="O10" s="5" t="s">
        <v>250</v>
      </c>
      <c r="P10" s="5"/>
    </row>
    <row r="11" spans="1:16" ht="46" customHeight="1">
      <c r="A11" s="5" t="s">
        <v>251</v>
      </c>
      <c r="B11" s="5" t="s">
        <v>252</v>
      </c>
      <c r="C11" s="5" t="s">
        <v>27</v>
      </c>
      <c r="D11" s="5" t="s">
        <v>253</v>
      </c>
      <c r="E11" s="5" t="s">
        <v>29</v>
      </c>
      <c r="F11" s="6"/>
      <c r="G11" s="7"/>
      <c r="H11" s="5"/>
      <c r="I11" s="8"/>
      <c r="J11" s="8"/>
      <c r="K11" s="8" t="str">
        <f t="shared" si="0"/>
        <v/>
      </c>
      <c r="L11" s="8" t="s">
        <v>228</v>
      </c>
      <c r="M11" s="8" t="s">
        <v>229</v>
      </c>
      <c r="N11" s="8" t="str">
        <f t="shared" si="1"/>
        <v>N</v>
      </c>
      <c r="O11" s="5" t="s">
        <v>254</v>
      </c>
      <c r="P11" s="5"/>
    </row>
    <row r="12" spans="1:16" ht="46" customHeight="1">
      <c r="A12" s="5" t="s">
        <v>255</v>
      </c>
      <c r="B12" s="5" t="s">
        <v>218</v>
      </c>
      <c r="C12" s="5" t="s">
        <v>27</v>
      </c>
      <c r="D12" s="5" t="s">
        <v>256</v>
      </c>
      <c r="E12" s="5" t="s">
        <v>29</v>
      </c>
      <c r="F12" s="6">
        <v>71</v>
      </c>
      <c r="G12" s="7">
        <v>500000</v>
      </c>
      <c r="H12" s="5" t="s">
        <v>54</v>
      </c>
      <c r="I12" s="8" t="s">
        <v>31</v>
      </c>
      <c r="J12" s="8" t="s">
        <v>32</v>
      </c>
      <c r="K12" s="8" t="str">
        <f t="shared" si="0"/>
        <v>N</v>
      </c>
      <c r="L12" s="8" t="s">
        <v>33</v>
      </c>
      <c r="M12" s="8" t="s">
        <v>257</v>
      </c>
      <c r="N12" s="8" t="str">
        <f t="shared" si="1"/>
        <v>N</v>
      </c>
      <c r="O12" s="5" t="s">
        <v>258</v>
      </c>
      <c r="P12" s="5" t="s">
        <v>259</v>
      </c>
    </row>
    <row r="13" spans="1:16" ht="46" customHeight="1">
      <c r="A13" s="5" t="s">
        <v>260</v>
      </c>
      <c r="B13" s="5" t="s">
        <v>252</v>
      </c>
      <c r="C13" s="5" t="s">
        <v>27</v>
      </c>
      <c r="D13" s="5" t="s">
        <v>46</v>
      </c>
      <c r="E13" s="5" t="s">
        <v>29</v>
      </c>
      <c r="F13" s="6"/>
      <c r="G13" s="7"/>
      <c r="H13" s="5"/>
      <c r="I13" s="8"/>
      <c r="J13" s="8"/>
      <c r="K13" s="8" t="str">
        <f t="shared" si="0"/>
        <v/>
      </c>
      <c r="L13" s="8" t="s">
        <v>228</v>
      </c>
      <c r="M13" s="8" t="s">
        <v>229</v>
      </c>
      <c r="N13" s="8" t="str">
        <f t="shared" si="1"/>
        <v>N</v>
      </c>
      <c r="O13" s="5" t="s">
        <v>261</v>
      </c>
      <c r="P13" s="5"/>
    </row>
    <row r="14" spans="1:16" ht="46" customHeight="1">
      <c r="A14" s="5" t="s">
        <v>262</v>
      </c>
      <c r="B14" s="5" t="s">
        <v>263</v>
      </c>
      <c r="C14" s="5" t="s">
        <v>263</v>
      </c>
      <c r="D14" s="5" t="s">
        <v>264</v>
      </c>
      <c r="E14" s="5" t="s">
        <v>29</v>
      </c>
      <c r="F14" s="6"/>
      <c r="G14" s="7"/>
      <c r="H14" s="5"/>
      <c r="I14" s="8"/>
      <c r="J14" s="8"/>
      <c r="K14" s="8" t="str">
        <f t="shared" si="0"/>
        <v/>
      </c>
      <c r="L14" s="8" t="s">
        <v>228</v>
      </c>
      <c r="M14" s="8" t="s">
        <v>265</v>
      </c>
      <c r="N14" s="8" t="str">
        <f t="shared" si="1"/>
        <v>N</v>
      </c>
      <c r="O14" s="5"/>
      <c r="P14" s="5"/>
    </row>
    <row r="15" spans="1:16" ht="46" customHeight="1">
      <c r="A15" s="5" t="s">
        <v>266</v>
      </c>
      <c r="B15" s="5" t="s">
        <v>267</v>
      </c>
      <c r="C15" s="5" t="s">
        <v>27</v>
      </c>
      <c r="D15" s="5" t="s">
        <v>268</v>
      </c>
      <c r="E15" s="5" t="s">
        <v>29</v>
      </c>
      <c r="F15" s="6"/>
      <c r="G15" s="7"/>
      <c r="H15" s="5"/>
      <c r="I15" s="8"/>
      <c r="J15" s="8"/>
      <c r="K15" s="8" t="str">
        <f t="shared" si="0"/>
        <v/>
      </c>
      <c r="L15" s="8" t="s">
        <v>228</v>
      </c>
      <c r="M15" s="8" t="s">
        <v>269</v>
      </c>
      <c r="N15" s="8" t="str">
        <f t="shared" si="1"/>
        <v>N</v>
      </c>
      <c r="O15" s="5" t="s">
        <v>270</v>
      </c>
      <c r="P15" s="5"/>
    </row>
    <row r="16" spans="1:16" ht="46" customHeight="1">
      <c r="A16" s="5" t="s">
        <v>271</v>
      </c>
      <c r="B16" s="5" t="s">
        <v>263</v>
      </c>
      <c r="C16" s="5" t="s">
        <v>263</v>
      </c>
      <c r="D16" s="5" t="s">
        <v>272</v>
      </c>
      <c r="E16" s="5" t="s">
        <v>29</v>
      </c>
      <c r="F16" s="6"/>
      <c r="G16" s="7"/>
      <c r="H16" s="5"/>
      <c r="I16" s="8"/>
      <c r="J16" s="8"/>
      <c r="K16" s="8" t="str">
        <f t="shared" si="0"/>
        <v/>
      </c>
      <c r="L16" s="8" t="s">
        <v>228</v>
      </c>
      <c r="M16" s="8" t="s">
        <v>265</v>
      </c>
      <c r="N16" s="8" t="str">
        <f t="shared" si="1"/>
        <v>N</v>
      </c>
      <c r="O16" s="5"/>
      <c r="P16" s="5"/>
    </row>
    <row r="17" spans="1:16" ht="46" customHeight="1">
      <c r="A17" s="5" t="s">
        <v>273</v>
      </c>
      <c r="B17" s="5" t="s">
        <v>274</v>
      </c>
      <c r="C17" s="5" t="s">
        <v>27</v>
      </c>
      <c r="D17" s="5" t="s">
        <v>91</v>
      </c>
      <c r="E17" s="5" t="s">
        <v>29</v>
      </c>
      <c r="F17" s="6"/>
      <c r="G17" s="7"/>
      <c r="H17" s="5"/>
      <c r="I17" s="8"/>
      <c r="J17" s="8"/>
      <c r="K17" s="8" t="str">
        <f t="shared" si="0"/>
        <v/>
      </c>
      <c r="L17" s="8" t="s">
        <v>228</v>
      </c>
      <c r="M17" s="8" t="s">
        <v>275</v>
      </c>
      <c r="N17" s="8" t="str">
        <f t="shared" si="1"/>
        <v>N</v>
      </c>
      <c r="O17" s="5" t="s">
        <v>276</v>
      </c>
      <c r="P17" s="5"/>
    </row>
    <row r="18" spans="1:16" ht="46" customHeight="1">
      <c r="A18" s="5" t="s">
        <v>277</v>
      </c>
      <c r="B18" s="5" t="s">
        <v>263</v>
      </c>
      <c r="C18" s="5" t="s">
        <v>27</v>
      </c>
      <c r="D18" s="5" t="s">
        <v>91</v>
      </c>
      <c r="E18" s="5" t="s">
        <v>29</v>
      </c>
      <c r="F18" s="6"/>
      <c r="G18" s="7"/>
      <c r="H18" s="5"/>
      <c r="I18" s="8"/>
      <c r="J18" s="8"/>
      <c r="K18" s="8" t="str">
        <f t="shared" si="0"/>
        <v/>
      </c>
      <c r="L18" s="8" t="s">
        <v>228</v>
      </c>
      <c r="M18" s="8" t="s">
        <v>278</v>
      </c>
      <c r="N18" s="8" t="str">
        <f t="shared" si="1"/>
        <v>N</v>
      </c>
      <c r="O18" s="5"/>
      <c r="P18" s="5"/>
    </row>
    <row r="19" spans="1:16" ht="46" customHeight="1">
      <c r="A19" s="5" t="s">
        <v>279</v>
      </c>
      <c r="B19" s="5" t="s">
        <v>280</v>
      </c>
      <c r="C19" s="5" t="s">
        <v>27</v>
      </c>
      <c r="D19" s="5" t="s">
        <v>281</v>
      </c>
      <c r="E19" s="5" t="s">
        <v>29</v>
      </c>
      <c r="F19" s="6"/>
      <c r="G19" s="7"/>
      <c r="H19" s="5"/>
      <c r="I19" s="8"/>
      <c r="J19" s="8"/>
      <c r="K19" s="8" t="str">
        <f t="shared" si="0"/>
        <v/>
      </c>
      <c r="L19" s="8" t="s">
        <v>228</v>
      </c>
      <c r="M19" s="8" t="s">
        <v>249</v>
      </c>
      <c r="N19" s="8" t="str">
        <f t="shared" si="1"/>
        <v>N</v>
      </c>
      <c r="O19" s="5" t="s">
        <v>282</v>
      </c>
      <c r="P19" s="5"/>
    </row>
    <row r="20" spans="1:16" ht="46" customHeight="1">
      <c r="A20" s="5" t="s">
        <v>283</v>
      </c>
      <c r="B20" s="5" t="s">
        <v>284</v>
      </c>
      <c r="C20" s="5" t="s">
        <v>38</v>
      </c>
      <c r="D20" s="5" t="s">
        <v>285</v>
      </c>
      <c r="E20" s="5" t="s">
        <v>111</v>
      </c>
      <c r="F20" s="6">
        <v>66</v>
      </c>
      <c r="G20" s="7">
        <v>12500000</v>
      </c>
      <c r="H20" s="5" t="s">
        <v>286</v>
      </c>
      <c r="I20" s="8">
        <v>2023</v>
      </c>
      <c r="J20" s="8" t="s">
        <v>48</v>
      </c>
      <c r="K20" s="8" t="str">
        <f t="shared" si="0"/>
        <v>N</v>
      </c>
      <c r="L20" s="8" t="s">
        <v>33</v>
      </c>
      <c r="M20" s="8" t="s">
        <v>287</v>
      </c>
      <c r="N20" s="8" t="str">
        <f t="shared" si="1"/>
        <v>N</v>
      </c>
      <c r="O20" s="5" t="s">
        <v>288</v>
      </c>
      <c r="P20" s="5" t="s">
        <v>289</v>
      </c>
    </row>
    <row r="21" spans="1:16" ht="46" customHeight="1">
      <c r="A21" s="5" t="s">
        <v>290</v>
      </c>
      <c r="B21" s="5" t="s">
        <v>291</v>
      </c>
      <c r="C21" s="5" t="s">
        <v>27</v>
      </c>
      <c r="D21" s="5" t="s">
        <v>91</v>
      </c>
      <c r="E21" s="5" t="s">
        <v>29</v>
      </c>
      <c r="F21" s="6"/>
      <c r="G21" s="7"/>
      <c r="H21" s="5"/>
      <c r="I21" s="8"/>
      <c r="J21" s="8"/>
      <c r="K21" s="8" t="str">
        <f t="shared" si="0"/>
        <v/>
      </c>
      <c r="L21" s="8" t="s">
        <v>228</v>
      </c>
      <c r="M21" s="8" t="s">
        <v>292</v>
      </c>
      <c r="N21" s="8" t="str">
        <f t="shared" si="1"/>
        <v>N</v>
      </c>
      <c r="O21" s="5" t="s">
        <v>293</v>
      </c>
      <c r="P21" s="5"/>
    </row>
    <row r="22" spans="1:16" ht="46" customHeight="1">
      <c r="A22" s="5" t="s">
        <v>294</v>
      </c>
      <c r="B22" s="5" t="s">
        <v>295</v>
      </c>
      <c r="C22" s="5" t="s">
        <v>27</v>
      </c>
      <c r="D22" s="5" t="s">
        <v>46</v>
      </c>
      <c r="E22" s="5" t="s">
        <v>29</v>
      </c>
      <c r="F22" s="6"/>
      <c r="G22" s="7"/>
      <c r="H22" s="5"/>
      <c r="I22" s="8"/>
      <c r="J22" s="8"/>
      <c r="K22" s="8" t="str">
        <f t="shared" si="0"/>
        <v/>
      </c>
      <c r="L22" s="8" t="s">
        <v>228</v>
      </c>
      <c r="M22" s="8" t="s">
        <v>249</v>
      </c>
      <c r="N22" s="8" t="str">
        <f t="shared" si="1"/>
        <v>N</v>
      </c>
      <c r="O22" s="5" t="s">
        <v>296</v>
      </c>
      <c r="P22" s="5"/>
    </row>
    <row r="23" spans="1:16" ht="46" customHeight="1">
      <c r="A23" s="5" t="s">
        <v>297</v>
      </c>
      <c r="B23" s="5" t="s">
        <v>298</v>
      </c>
      <c r="C23" s="5" t="s">
        <v>27</v>
      </c>
      <c r="D23" s="5" t="s">
        <v>299</v>
      </c>
      <c r="E23" s="5" t="s">
        <v>300</v>
      </c>
      <c r="F23" s="6">
        <v>87</v>
      </c>
      <c r="G23" s="7"/>
      <c r="H23" s="5"/>
      <c r="I23" s="8"/>
      <c r="J23" s="8"/>
      <c r="K23" s="8" t="str">
        <f t="shared" si="0"/>
        <v/>
      </c>
      <c r="L23" s="8" t="s">
        <v>228</v>
      </c>
      <c r="M23" s="8" t="s">
        <v>301</v>
      </c>
      <c r="N23" s="8" t="str">
        <f t="shared" si="1"/>
        <v>N</v>
      </c>
      <c r="O23" s="5" t="s">
        <v>302</v>
      </c>
      <c r="P23" s="5"/>
    </row>
    <row r="24" spans="1:16" ht="46" customHeight="1">
      <c r="A24" s="5" t="s">
        <v>303</v>
      </c>
      <c r="B24" s="5" t="s">
        <v>304</v>
      </c>
      <c r="C24" s="5" t="s">
        <v>27</v>
      </c>
      <c r="D24" s="5" t="s">
        <v>305</v>
      </c>
      <c r="E24" s="5" t="s">
        <v>306</v>
      </c>
      <c r="F24" s="6"/>
      <c r="G24" s="7"/>
      <c r="H24" s="5"/>
      <c r="I24" s="8"/>
      <c r="J24" s="8"/>
      <c r="K24" s="8" t="str">
        <f t="shared" si="0"/>
        <v/>
      </c>
      <c r="L24" s="8" t="s">
        <v>228</v>
      </c>
      <c r="M24" s="8" t="s">
        <v>249</v>
      </c>
      <c r="N24" s="8" t="str">
        <f t="shared" si="1"/>
        <v>N</v>
      </c>
      <c r="O24" s="5" t="s">
        <v>307</v>
      </c>
      <c r="P24" s="5"/>
    </row>
    <row r="25" spans="1:16" ht="46" customHeight="1">
      <c r="A25" s="5" t="s">
        <v>308</v>
      </c>
      <c r="B25" s="5" t="s">
        <v>252</v>
      </c>
      <c r="C25" s="5" t="s">
        <v>27</v>
      </c>
      <c r="D25" s="5" t="s">
        <v>309</v>
      </c>
      <c r="E25" s="5" t="s">
        <v>29</v>
      </c>
      <c r="F25" s="6"/>
      <c r="G25" s="7"/>
      <c r="H25" s="5"/>
      <c r="I25" s="8"/>
      <c r="J25" s="8"/>
      <c r="K25" s="8" t="str">
        <f t="shared" si="0"/>
        <v/>
      </c>
      <c r="L25" s="8" t="s">
        <v>228</v>
      </c>
      <c r="M25" s="8" t="s">
        <v>229</v>
      </c>
      <c r="N25" s="8" t="str">
        <f t="shared" si="1"/>
        <v>N</v>
      </c>
      <c r="O25" s="5" t="s">
        <v>310</v>
      </c>
      <c r="P25" s="5"/>
    </row>
    <row r="26" spans="1:16" ht="46" customHeight="1">
      <c r="A26" s="5" t="s">
        <v>311</v>
      </c>
      <c r="B26" s="5" t="s">
        <v>312</v>
      </c>
      <c r="C26" s="5" t="s">
        <v>27</v>
      </c>
      <c r="D26" s="5" t="s">
        <v>313</v>
      </c>
      <c r="E26" s="5" t="s">
        <v>29</v>
      </c>
      <c r="F26" s="6"/>
      <c r="G26" s="7"/>
      <c r="H26" s="5"/>
      <c r="I26" s="8"/>
      <c r="J26" s="8"/>
      <c r="K26" s="8" t="str">
        <f t="shared" si="0"/>
        <v/>
      </c>
      <c r="L26" s="8" t="s">
        <v>228</v>
      </c>
      <c r="M26" s="8" t="s">
        <v>314</v>
      </c>
      <c r="N26" s="8" t="str">
        <f t="shared" si="1"/>
        <v>N</v>
      </c>
      <c r="O26" s="5" t="s">
        <v>315</v>
      </c>
      <c r="P26" s="5"/>
    </row>
    <row r="27" spans="1:16" ht="46" customHeight="1">
      <c r="A27" s="5" t="s">
        <v>316</v>
      </c>
      <c r="B27" s="5" t="s">
        <v>317</v>
      </c>
      <c r="C27" s="5" t="s">
        <v>27</v>
      </c>
      <c r="D27" s="5" t="s">
        <v>318</v>
      </c>
      <c r="E27" s="5" t="s">
        <v>29</v>
      </c>
      <c r="F27" s="6"/>
      <c r="G27" s="7"/>
      <c r="H27" s="5"/>
      <c r="I27" s="8"/>
      <c r="J27" s="8"/>
      <c r="K27" s="8" t="str">
        <f t="shared" si="0"/>
        <v/>
      </c>
      <c r="L27" s="8" t="s">
        <v>228</v>
      </c>
      <c r="M27" s="8" t="s">
        <v>234</v>
      </c>
      <c r="N27" s="8" t="str">
        <f t="shared" si="1"/>
        <v>N</v>
      </c>
      <c r="O27" s="5"/>
      <c r="P27" s="5"/>
    </row>
    <row r="28" spans="1:16" ht="46" customHeight="1">
      <c r="A28" s="5" t="s">
        <v>319</v>
      </c>
      <c r="B28" s="5" t="s">
        <v>252</v>
      </c>
      <c r="C28" s="5" t="s">
        <v>27</v>
      </c>
      <c r="D28" s="5" t="s">
        <v>320</v>
      </c>
      <c r="E28" s="5" t="s">
        <v>29</v>
      </c>
      <c r="F28" s="6">
        <v>72</v>
      </c>
      <c r="G28" s="7"/>
      <c r="H28" s="5"/>
      <c r="I28" s="8"/>
      <c r="J28" s="8"/>
      <c r="K28" s="8" t="str">
        <f t="shared" si="0"/>
        <v/>
      </c>
      <c r="L28" s="8" t="s">
        <v>228</v>
      </c>
      <c r="M28" s="8" t="s">
        <v>229</v>
      </c>
      <c r="N28" s="8" t="str">
        <f t="shared" si="1"/>
        <v>N</v>
      </c>
      <c r="O28" s="5" t="s">
        <v>321</v>
      </c>
      <c r="P28" s="5"/>
    </row>
    <row r="29" spans="1:16" ht="46" customHeight="1">
      <c r="A29" s="5" t="s">
        <v>322</v>
      </c>
      <c r="B29" s="5" t="s">
        <v>133</v>
      </c>
      <c r="C29" s="5" t="s">
        <v>66</v>
      </c>
      <c r="D29" s="5" t="s">
        <v>323</v>
      </c>
      <c r="E29" s="5" t="s">
        <v>29</v>
      </c>
      <c r="F29" s="6"/>
      <c r="G29" s="7">
        <v>8000000</v>
      </c>
      <c r="H29" s="5" t="s">
        <v>324</v>
      </c>
      <c r="I29" s="8" t="s">
        <v>325</v>
      </c>
      <c r="J29" s="8" t="s">
        <v>32</v>
      </c>
      <c r="K29" s="8" t="str">
        <f t="shared" si="0"/>
        <v>N</v>
      </c>
      <c r="L29" s="8" t="s">
        <v>33</v>
      </c>
      <c r="M29" s="8" t="s">
        <v>326</v>
      </c>
      <c r="N29" s="8" t="str">
        <f t="shared" si="1"/>
        <v>N</v>
      </c>
      <c r="O29" s="5" t="s">
        <v>327</v>
      </c>
      <c r="P29" s="5" t="s">
        <v>328</v>
      </c>
    </row>
    <row r="30" spans="1:16" ht="46" customHeight="1">
      <c r="A30" s="5" t="s">
        <v>329</v>
      </c>
      <c r="B30" s="5" t="s">
        <v>226</v>
      </c>
      <c r="C30" s="5" t="s">
        <v>27</v>
      </c>
      <c r="D30" s="5" t="s">
        <v>330</v>
      </c>
      <c r="E30" s="5" t="s">
        <v>29</v>
      </c>
      <c r="F30" s="6"/>
      <c r="G30" s="7"/>
      <c r="H30" s="5"/>
      <c r="I30" s="8"/>
      <c r="J30" s="8"/>
      <c r="K30" s="8" t="str">
        <f t="shared" si="0"/>
        <v/>
      </c>
      <c r="L30" s="8" t="s">
        <v>228</v>
      </c>
      <c r="M30" s="8" t="s">
        <v>229</v>
      </c>
      <c r="N30" s="8" t="str">
        <f t="shared" si="1"/>
        <v>N</v>
      </c>
      <c r="O30" s="5" t="s">
        <v>331</v>
      </c>
      <c r="P30" s="5"/>
    </row>
    <row r="31" spans="1:16" ht="46" customHeight="1">
      <c r="A31" s="5" t="s">
        <v>332</v>
      </c>
      <c r="B31" s="5" t="s">
        <v>128</v>
      </c>
      <c r="C31" s="5" t="s">
        <v>66</v>
      </c>
      <c r="D31" s="5" t="s">
        <v>333</v>
      </c>
      <c r="E31" s="5" t="s">
        <v>111</v>
      </c>
      <c r="F31" s="6">
        <v>61</v>
      </c>
      <c r="G31" s="7">
        <v>3630849</v>
      </c>
      <c r="H31" s="5" t="s">
        <v>47</v>
      </c>
      <c r="I31" s="8">
        <v>2024</v>
      </c>
      <c r="J31" s="8" t="s">
        <v>48</v>
      </c>
      <c r="K31" s="8" t="str">
        <f t="shared" si="0"/>
        <v>N</v>
      </c>
      <c r="L31" s="8" t="s">
        <v>33</v>
      </c>
      <c r="M31" s="8" t="s">
        <v>334</v>
      </c>
      <c r="N31" s="8" t="str">
        <f t="shared" si="1"/>
        <v>N</v>
      </c>
      <c r="O31" s="5" t="s">
        <v>335</v>
      </c>
      <c r="P31" s="5" t="s">
        <v>336</v>
      </c>
    </row>
    <row r="32" spans="1:16" ht="46" customHeight="1">
      <c r="A32" s="5" t="s">
        <v>337</v>
      </c>
      <c r="B32" s="5" t="s">
        <v>252</v>
      </c>
      <c r="C32" s="5" t="s">
        <v>27</v>
      </c>
      <c r="D32" s="5" t="s">
        <v>338</v>
      </c>
      <c r="E32" s="5" t="s">
        <v>29</v>
      </c>
      <c r="F32" s="6"/>
      <c r="G32" s="7"/>
      <c r="H32" s="5"/>
      <c r="I32" s="8"/>
      <c r="J32" s="8"/>
      <c r="K32" s="8" t="str">
        <f t="shared" si="0"/>
        <v/>
      </c>
      <c r="L32" s="8" t="s">
        <v>228</v>
      </c>
      <c r="M32" s="8" t="s">
        <v>229</v>
      </c>
      <c r="N32" s="8" t="str">
        <f t="shared" si="1"/>
        <v>N</v>
      </c>
      <c r="O32" s="5" t="s">
        <v>339</v>
      </c>
      <c r="P32" s="5"/>
    </row>
    <row r="33" spans="1:16" ht="46" customHeight="1">
      <c r="A33" s="5" t="s">
        <v>340</v>
      </c>
      <c r="B33" s="5" t="s">
        <v>252</v>
      </c>
      <c r="C33" s="5" t="s">
        <v>27</v>
      </c>
      <c r="D33" s="5" t="s">
        <v>341</v>
      </c>
      <c r="E33" s="5" t="s">
        <v>29</v>
      </c>
      <c r="F33" s="6"/>
      <c r="G33" s="7"/>
      <c r="H33" s="5"/>
      <c r="I33" s="8"/>
      <c r="J33" s="8"/>
      <c r="K33" s="8" t="str">
        <f t="shared" si="0"/>
        <v/>
      </c>
      <c r="L33" s="8" t="s">
        <v>228</v>
      </c>
      <c r="M33" s="8" t="s">
        <v>229</v>
      </c>
      <c r="N33" s="8" t="str">
        <f t="shared" si="1"/>
        <v>N</v>
      </c>
      <c r="O33" s="5" t="s">
        <v>342</v>
      </c>
      <c r="P33" s="5"/>
    </row>
    <row r="34" spans="1:16" ht="46" customHeight="1">
      <c r="A34" s="5" t="s">
        <v>343</v>
      </c>
      <c r="B34" s="5" t="s">
        <v>226</v>
      </c>
      <c r="C34" s="5" t="s">
        <v>27</v>
      </c>
      <c r="D34" s="5" t="s">
        <v>46</v>
      </c>
      <c r="E34" s="5" t="s">
        <v>29</v>
      </c>
      <c r="F34" s="6">
        <v>94</v>
      </c>
      <c r="G34" s="7"/>
      <c r="H34" s="5"/>
      <c r="I34" s="8"/>
      <c r="J34" s="8"/>
      <c r="K34" s="8" t="str">
        <f t="shared" si="0"/>
        <v/>
      </c>
      <c r="L34" s="8" t="s">
        <v>228</v>
      </c>
      <c r="M34" s="8" t="s">
        <v>229</v>
      </c>
      <c r="N34" s="8" t="str">
        <f t="shared" si="1"/>
        <v>N</v>
      </c>
      <c r="O34" s="5" t="s">
        <v>344</v>
      </c>
      <c r="P34" s="5"/>
    </row>
    <row r="35" spans="1:16" ht="46" customHeight="1">
      <c r="A35" s="5" t="s">
        <v>345</v>
      </c>
      <c r="B35" s="5" t="s">
        <v>346</v>
      </c>
      <c r="C35" s="5" t="s">
        <v>27</v>
      </c>
      <c r="D35" s="5" t="s">
        <v>46</v>
      </c>
      <c r="E35" s="5" t="s">
        <v>29</v>
      </c>
      <c r="F35" s="6"/>
      <c r="G35" s="7"/>
      <c r="H35" s="5"/>
      <c r="I35" s="8"/>
      <c r="J35" s="8"/>
      <c r="K35" s="8" t="str">
        <f t="shared" si="0"/>
        <v/>
      </c>
      <c r="L35" s="8" t="s">
        <v>228</v>
      </c>
      <c r="M35" s="8" t="s">
        <v>347</v>
      </c>
      <c r="N35" s="8" t="str">
        <f t="shared" si="1"/>
        <v>N</v>
      </c>
      <c r="O35" s="5" t="s">
        <v>348</v>
      </c>
      <c r="P35" s="5"/>
    </row>
    <row r="36" spans="1:16" ht="46" customHeight="1">
      <c r="A36" s="5" t="s">
        <v>349</v>
      </c>
      <c r="B36" s="5" t="s">
        <v>252</v>
      </c>
      <c r="C36" s="5" t="s">
        <v>27</v>
      </c>
      <c r="D36" s="5" t="s">
        <v>350</v>
      </c>
      <c r="E36" s="5" t="s">
        <v>29</v>
      </c>
      <c r="F36" s="6"/>
      <c r="G36" s="7"/>
      <c r="H36" s="5"/>
      <c r="I36" s="8"/>
      <c r="J36" s="8"/>
      <c r="K36" s="8" t="str">
        <f t="shared" si="0"/>
        <v/>
      </c>
      <c r="L36" s="8" t="s">
        <v>228</v>
      </c>
      <c r="M36" s="8" t="s">
        <v>229</v>
      </c>
      <c r="N36" s="8" t="str">
        <f t="shared" si="1"/>
        <v>N</v>
      </c>
      <c r="O36" s="5" t="s">
        <v>351</v>
      </c>
      <c r="P36" s="5"/>
    </row>
    <row r="37" spans="1:16" ht="46" customHeight="1">
      <c r="A37" s="5" t="s">
        <v>352</v>
      </c>
      <c r="B37" s="5" t="s">
        <v>263</v>
      </c>
      <c r="C37" s="5" t="s">
        <v>263</v>
      </c>
      <c r="D37" s="5" t="s">
        <v>353</v>
      </c>
      <c r="E37" s="5" t="s">
        <v>29</v>
      </c>
      <c r="F37" s="6"/>
      <c r="G37" s="7"/>
      <c r="H37" s="5"/>
      <c r="I37" s="8"/>
      <c r="J37" s="8"/>
      <c r="K37" s="8" t="str">
        <f t="shared" si="0"/>
        <v/>
      </c>
      <c r="L37" s="8" t="s">
        <v>228</v>
      </c>
      <c r="M37" s="8" t="s">
        <v>265</v>
      </c>
      <c r="N37" s="8" t="str">
        <f t="shared" si="1"/>
        <v>N</v>
      </c>
      <c r="O37" s="5"/>
      <c r="P37" s="5"/>
    </row>
    <row r="38" spans="1:16" ht="46" customHeight="1">
      <c r="A38" s="5" t="s">
        <v>354</v>
      </c>
      <c r="B38" s="5" t="s">
        <v>355</v>
      </c>
      <c r="C38" s="5" t="s">
        <v>66</v>
      </c>
      <c r="D38" s="5" t="s">
        <v>356</v>
      </c>
      <c r="E38" s="5" t="s">
        <v>29</v>
      </c>
      <c r="F38" s="6"/>
      <c r="G38" s="7">
        <v>618088</v>
      </c>
      <c r="H38" s="5" t="s">
        <v>86</v>
      </c>
      <c r="I38" s="8" t="s">
        <v>31</v>
      </c>
      <c r="J38" s="8" t="s">
        <v>32</v>
      </c>
      <c r="K38" s="8" t="str">
        <f t="shared" ref="K38:K69" si="2">IF(G38="","",IF(G38&gt;=$E$4,"Y","N"))</f>
        <v>N</v>
      </c>
      <c r="L38" s="8" t="s">
        <v>33</v>
      </c>
      <c r="M38" s="8" t="s">
        <v>357</v>
      </c>
      <c r="N38" s="8" t="str">
        <f t="shared" ref="N38:N69" si="3">IF(AND(K38="Y",L38="Y",M38=""),"Y","N")</f>
        <v>N</v>
      </c>
      <c r="O38" s="5" t="s">
        <v>358</v>
      </c>
      <c r="P38" s="5" t="s">
        <v>359</v>
      </c>
    </row>
    <row r="39" spans="1:16" ht="46" customHeight="1">
      <c r="A39" s="5" t="s">
        <v>360</v>
      </c>
      <c r="B39" s="5" t="s">
        <v>59</v>
      </c>
      <c r="C39" s="5" t="s">
        <v>38</v>
      </c>
      <c r="D39" s="5" t="s">
        <v>361</v>
      </c>
      <c r="E39" s="5" t="s">
        <v>29</v>
      </c>
      <c r="F39" s="6"/>
      <c r="G39" s="7">
        <v>11500000</v>
      </c>
      <c r="H39" s="5" t="s">
        <v>146</v>
      </c>
      <c r="I39" s="8" t="s">
        <v>31</v>
      </c>
      <c r="J39" s="8" t="s">
        <v>55</v>
      </c>
      <c r="K39" s="8" t="str">
        <f t="shared" si="2"/>
        <v>N</v>
      </c>
      <c r="L39" s="8" t="s">
        <v>33</v>
      </c>
      <c r="M39" s="8" t="s">
        <v>362</v>
      </c>
      <c r="N39" s="8" t="str">
        <f t="shared" si="3"/>
        <v>N</v>
      </c>
      <c r="O39" s="5" t="s">
        <v>363</v>
      </c>
      <c r="P39" s="5" t="s">
        <v>364</v>
      </c>
    </row>
    <row r="40" spans="1:16" ht="46" customHeight="1">
      <c r="A40" s="5" t="s">
        <v>365</v>
      </c>
      <c r="B40" s="5" t="s">
        <v>366</v>
      </c>
      <c r="C40" s="5" t="s">
        <v>27</v>
      </c>
      <c r="D40" s="5" t="s">
        <v>367</v>
      </c>
      <c r="E40" s="5" t="s">
        <v>29</v>
      </c>
      <c r="F40" s="6">
        <v>90</v>
      </c>
      <c r="G40" s="7"/>
      <c r="H40" s="5"/>
      <c r="I40" s="8"/>
      <c r="J40" s="8"/>
      <c r="K40" s="8" t="str">
        <f t="shared" si="2"/>
        <v/>
      </c>
      <c r="L40" s="8" t="s">
        <v>228</v>
      </c>
      <c r="M40" s="8" t="s">
        <v>368</v>
      </c>
      <c r="N40" s="8" t="str">
        <f t="shared" si="3"/>
        <v>N</v>
      </c>
      <c r="O40" s="5"/>
      <c r="P40" s="5"/>
    </row>
    <row r="41" spans="1:16" ht="46" customHeight="1">
      <c r="A41" s="5" t="s">
        <v>369</v>
      </c>
      <c r="B41" s="5" t="s">
        <v>370</v>
      </c>
      <c r="C41" s="5" t="s">
        <v>27</v>
      </c>
      <c r="D41" s="5" t="s">
        <v>46</v>
      </c>
      <c r="E41" s="5" t="s">
        <v>29</v>
      </c>
      <c r="F41" s="6"/>
      <c r="G41" s="7"/>
      <c r="H41" s="5"/>
      <c r="I41" s="8"/>
      <c r="J41" s="8"/>
      <c r="K41" s="8" t="str">
        <f t="shared" si="2"/>
        <v/>
      </c>
      <c r="L41" s="8" t="s">
        <v>228</v>
      </c>
      <c r="M41" s="8" t="s">
        <v>371</v>
      </c>
      <c r="N41" s="8" t="str">
        <f t="shared" si="3"/>
        <v>N</v>
      </c>
      <c r="O41" s="5" t="s">
        <v>372</v>
      </c>
      <c r="P41" s="5"/>
    </row>
    <row r="42" spans="1:16" ht="46" customHeight="1">
      <c r="A42" s="5" t="s">
        <v>373</v>
      </c>
      <c r="B42" s="5" t="s">
        <v>252</v>
      </c>
      <c r="C42" s="5" t="s">
        <v>27</v>
      </c>
      <c r="D42" s="5" t="s">
        <v>374</v>
      </c>
      <c r="E42" s="5" t="s">
        <v>29</v>
      </c>
      <c r="F42" s="6">
        <v>91</v>
      </c>
      <c r="G42" s="7"/>
      <c r="H42" s="5"/>
      <c r="I42" s="8"/>
      <c r="J42" s="8"/>
      <c r="K42" s="8" t="str">
        <f t="shared" si="2"/>
        <v/>
      </c>
      <c r="L42" s="8" t="s">
        <v>228</v>
      </c>
      <c r="M42" s="8" t="s">
        <v>229</v>
      </c>
      <c r="N42" s="8" t="str">
        <f t="shared" si="3"/>
        <v>N</v>
      </c>
      <c r="O42" s="5" t="s">
        <v>375</v>
      </c>
      <c r="P42" s="5"/>
    </row>
    <row r="43" spans="1:16" ht="46" customHeight="1">
      <c r="A43" s="5" t="s">
        <v>376</v>
      </c>
      <c r="B43" s="5" t="s">
        <v>252</v>
      </c>
      <c r="C43" s="5" t="s">
        <v>27</v>
      </c>
      <c r="D43" s="5" t="s">
        <v>377</v>
      </c>
      <c r="E43" s="5" t="s">
        <v>29</v>
      </c>
      <c r="F43" s="6"/>
      <c r="G43" s="7"/>
      <c r="H43" s="5"/>
      <c r="I43" s="8"/>
      <c r="J43" s="8"/>
      <c r="K43" s="8" t="str">
        <f t="shared" si="2"/>
        <v/>
      </c>
      <c r="L43" s="8" t="s">
        <v>228</v>
      </c>
      <c r="M43" s="8" t="s">
        <v>229</v>
      </c>
      <c r="N43" s="8" t="str">
        <f t="shared" si="3"/>
        <v>N</v>
      </c>
      <c r="O43" s="5" t="s">
        <v>378</v>
      </c>
      <c r="P43" s="5"/>
    </row>
    <row r="44" spans="1:16" ht="46" customHeight="1">
      <c r="A44" s="5" t="s">
        <v>379</v>
      </c>
      <c r="B44" s="5" t="s">
        <v>263</v>
      </c>
      <c r="C44" s="5" t="s">
        <v>263</v>
      </c>
      <c r="D44" s="5" t="s">
        <v>380</v>
      </c>
      <c r="E44" s="5" t="s">
        <v>29</v>
      </c>
      <c r="F44" s="6">
        <v>92</v>
      </c>
      <c r="G44" s="7"/>
      <c r="H44" s="5"/>
      <c r="I44" s="8"/>
      <c r="J44" s="8"/>
      <c r="K44" s="8" t="str">
        <f t="shared" si="2"/>
        <v/>
      </c>
      <c r="L44" s="8" t="s">
        <v>228</v>
      </c>
      <c r="M44" s="8" t="s">
        <v>381</v>
      </c>
      <c r="N44" s="8" t="str">
        <f t="shared" si="3"/>
        <v>N</v>
      </c>
      <c r="O44" s="5"/>
      <c r="P44" s="5"/>
    </row>
    <row r="45" spans="1:16" ht="46" customHeight="1">
      <c r="A45" s="5" t="s">
        <v>382</v>
      </c>
      <c r="B45" s="5" t="s">
        <v>252</v>
      </c>
      <c r="C45" s="5" t="s">
        <v>27</v>
      </c>
      <c r="D45" s="5" t="s">
        <v>383</v>
      </c>
      <c r="E45" s="5" t="s">
        <v>29</v>
      </c>
      <c r="F45" s="6"/>
      <c r="G45" s="7"/>
      <c r="H45" s="5"/>
      <c r="I45" s="8"/>
      <c r="J45" s="8"/>
      <c r="K45" s="8" t="str">
        <f t="shared" si="2"/>
        <v/>
      </c>
      <c r="L45" s="8" t="s">
        <v>228</v>
      </c>
      <c r="M45" s="8" t="s">
        <v>229</v>
      </c>
      <c r="N45" s="8" t="str">
        <f t="shared" si="3"/>
        <v>N</v>
      </c>
      <c r="O45" s="5" t="s">
        <v>384</v>
      </c>
      <c r="P45" s="5"/>
    </row>
    <row r="46" spans="1:16" ht="46" customHeight="1">
      <c r="A46" s="5" t="s">
        <v>385</v>
      </c>
      <c r="B46" s="5" t="s">
        <v>295</v>
      </c>
      <c r="C46" s="5" t="s">
        <v>27</v>
      </c>
      <c r="D46" s="5" t="s">
        <v>386</v>
      </c>
      <c r="E46" s="5" t="s">
        <v>29</v>
      </c>
      <c r="F46" s="6"/>
      <c r="G46" s="7"/>
      <c r="H46" s="5"/>
      <c r="I46" s="8"/>
      <c r="J46" s="8"/>
      <c r="K46" s="8" t="str">
        <f t="shared" si="2"/>
        <v/>
      </c>
      <c r="L46" s="8" t="s">
        <v>228</v>
      </c>
      <c r="M46" s="8" t="s">
        <v>249</v>
      </c>
      <c r="N46" s="8" t="str">
        <f t="shared" si="3"/>
        <v>N</v>
      </c>
      <c r="O46" s="5" t="s">
        <v>387</v>
      </c>
      <c r="P46" s="5"/>
    </row>
    <row r="47" spans="1:16" ht="46" customHeight="1">
      <c r="A47" s="5" t="s">
        <v>388</v>
      </c>
      <c r="B47" s="5" t="s">
        <v>389</v>
      </c>
      <c r="C47" s="5" t="s">
        <v>27</v>
      </c>
      <c r="D47" s="5" t="s">
        <v>390</v>
      </c>
      <c r="E47" s="5" t="s">
        <v>29</v>
      </c>
      <c r="F47" s="6"/>
      <c r="G47" s="7"/>
      <c r="H47" s="5"/>
      <c r="I47" s="8"/>
      <c r="J47" s="8"/>
      <c r="K47" s="8" t="str">
        <f t="shared" si="2"/>
        <v/>
      </c>
      <c r="L47" s="8" t="s">
        <v>228</v>
      </c>
      <c r="M47" s="8" t="s">
        <v>234</v>
      </c>
      <c r="N47" s="8" t="str">
        <f t="shared" si="3"/>
        <v>N</v>
      </c>
      <c r="O47" s="5" t="s">
        <v>391</v>
      </c>
      <c r="P47" s="5"/>
    </row>
    <row r="48" spans="1:16" ht="46" customHeight="1">
      <c r="A48" s="5" t="s">
        <v>392</v>
      </c>
      <c r="B48" s="5" t="s">
        <v>155</v>
      </c>
      <c r="C48" s="5" t="s">
        <v>66</v>
      </c>
      <c r="D48" s="5" t="s">
        <v>393</v>
      </c>
      <c r="E48" s="5" t="s">
        <v>29</v>
      </c>
      <c r="F48" s="6"/>
      <c r="G48" s="7">
        <v>7500000</v>
      </c>
      <c r="H48" s="5" t="s">
        <v>178</v>
      </c>
      <c r="I48" s="8" t="s">
        <v>31</v>
      </c>
      <c r="J48" s="8" t="s">
        <v>55</v>
      </c>
      <c r="K48" s="8" t="str">
        <f t="shared" si="2"/>
        <v>N</v>
      </c>
      <c r="L48" s="8" t="s">
        <v>33</v>
      </c>
      <c r="M48" s="8" t="s">
        <v>394</v>
      </c>
      <c r="N48" s="8" t="str">
        <f t="shared" si="3"/>
        <v>N</v>
      </c>
      <c r="O48" s="5" t="s">
        <v>395</v>
      </c>
      <c r="P48" s="5" t="s">
        <v>396</v>
      </c>
    </row>
    <row r="49" spans="1:16" ht="46" customHeight="1">
      <c r="A49" s="5" t="s">
        <v>397</v>
      </c>
      <c r="B49" s="5" t="s">
        <v>398</v>
      </c>
      <c r="C49" s="5" t="s">
        <v>66</v>
      </c>
      <c r="D49" s="5" t="s">
        <v>399</v>
      </c>
      <c r="E49" s="5" t="s">
        <v>29</v>
      </c>
      <c r="F49" s="6"/>
      <c r="G49" s="7">
        <v>129500</v>
      </c>
      <c r="H49" s="5" t="s">
        <v>47</v>
      </c>
      <c r="I49" s="8">
        <v>2023</v>
      </c>
      <c r="J49" s="8" t="s">
        <v>48</v>
      </c>
      <c r="K49" s="8" t="str">
        <f t="shared" si="2"/>
        <v>N</v>
      </c>
      <c r="L49" s="8" t="s">
        <v>33</v>
      </c>
      <c r="M49" s="8" t="s">
        <v>400</v>
      </c>
      <c r="N49" s="8" t="str">
        <f t="shared" si="3"/>
        <v>N</v>
      </c>
      <c r="O49" s="5" t="s">
        <v>401</v>
      </c>
      <c r="P49" s="5" t="s">
        <v>402</v>
      </c>
    </row>
    <row r="50" spans="1:16" ht="46" customHeight="1">
      <c r="A50" s="5" t="s">
        <v>403</v>
      </c>
      <c r="B50" s="5" t="s">
        <v>404</v>
      </c>
      <c r="C50" s="5" t="s">
        <v>27</v>
      </c>
      <c r="D50" s="5" t="s">
        <v>46</v>
      </c>
      <c r="E50" s="5" t="s">
        <v>29</v>
      </c>
      <c r="F50" s="6">
        <v>78</v>
      </c>
      <c r="G50" s="7"/>
      <c r="H50" s="5"/>
      <c r="I50" s="8"/>
      <c r="J50" s="8"/>
      <c r="K50" s="8" t="str">
        <f t="shared" si="2"/>
        <v/>
      </c>
      <c r="L50" s="8" t="s">
        <v>228</v>
      </c>
      <c r="M50" s="8" t="s">
        <v>405</v>
      </c>
      <c r="N50" s="8" t="str">
        <f t="shared" si="3"/>
        <v>N</v>
      </c>
      <c r="O50" s="5" t="s">
        <v>406</v>
      </c>
      <c r="P50" s="5"/>
    </row>
    <row r="51" spans="1:16" ht="46" customHeight="1">
      <c r="A51" s="5" t="s">
        <v>407</v>
      </c>
      <c r="B51" s="5" t="s">
        <v>263</v>
      </c>
      <c r="C51" s="5" t="s">
        <v>263</v>
      </c>
      <c r="D51" s="5" t="s">
        <v>408</v>
      </c>
      <c r="E51" s="5" t="s">
        <v>29</v>
      </c>
      <c r="F51" s="6"/>
      <c r="G51" s="7"/>
      <c r="H51" s="5"/>
      <c r="I51" s="8"/>
      <c r="J51" s="8"/>
      <c r="K51" s="8" t="str">
        <f t="shared" si="2"/>
        <v/>
      </c>
      <c r="L51" s="8" t="s">
        <v>228</v>
      </c>
      <c r="M51" s="8" t="s">
        <v>409</v>
      </c>
      <c r="N51" s="8" t="str">
        <f t="shared" si="3"/>
        <v>N</v>
      </c>
      <c r="O51" s="5"/>
      <c r="P51" s="5"/>
    </row>
    <row r="52" spans="1:16" ht="46" customHeight="1">
      <c r="A52" s="5" t="s">
        <v>410</v>
      </c>
      <c r="B52" s="5" t="s">
        <v>252</v>
      </c>
      <c r="C52" s="5" t="s">
        <v>27</v>
      </c>
      <c r="D52" s="5" t="s">
        <v>411</v>
      </c>
      <c r="E52" s="5" t="s">
        <v>29</v>
      </c>
      <c r="F52" s="6">
        <v>60</v>
      </c>
      <c r="G52" s="7"/>
      <c r="H52" s="5"/>
      <c r="I52" s="8"/>
      <c r="J52" s="8"/>
      <c r="K52" s="8" t="str">
        <f t="shared" si="2"/>
        <v/>
      </c>
      <c r="L52" s="8" t="s">
        <v>228</v>
      </c>
      <c r="M52" s="8" t="s">
        <v>229</v>
      </c>
      <c r="N52" s="8" t="str">
        <f t="shared" si="3"/>
        <v>N</v>
      </c>
      <c r="O52" s="5" t="s">
        <v>412</v>
      </c>
      <c r="P52" s="5"/>
    </row>
    <row r="53" spans="1:16" ht="46" customHeight="1">
      <c r="A53" s="5" t="s">
        <v>413</v>
      </c>
      <c r="B53" s="5" t="s">
        <v>263</v>
      </c>
      <c r="C53" s="5" t="s">
        <v>66</v>
      </c>
      <c r="D53" s="5" t="s">
        <v>414</v>
      </c>
      <c r="E53" s="5" t="s">
        <v>29</v>
      </c>
      <c r="F53" s="6">
        <v>77</v>
      </c>
      <c r="G53" s="7"/>
      <c r="H53" s="5"/>
      <c r="I53" s="8"/>
      <c r="J53" s="8"/>
      <c r="K53" s="8" t="str">
        <f t="shared" si="2"/>
        <v/>
      </c>
      <c r="L53" s="8" t="s">
        <v>228</v>
      </c>
      <c r="M53" s="8" t="s">
        <v>415</v>
      </c>
      <c r="N53" s="8" t="str">
        <f t="shared" si="3"/>
        <v>N</v>
      </c>
      <c r="O53" s="5"/>
      <c r="P53" s="5"/>
    </row>
    <row r="54" spans="1:16" ht="46" customHeight="1">
      <c r="A54" s="5" t="s">
        <v>416</v>
      </c>
      <c r="B54" s="5" t="s">
        <v>417</v>
      </c>
      <c r="C54" s="5" t="s">
        <v>27</v>
      </c>
      <c r="D54" s="5" t="s">
        <v>91</v>
      </c>
      <c r="E54" s="5" t="s">
        <v>29</v>
      </c>
      <c r="F54" s="6"/>
      <c r="G54" s="7"/>
      <c r="H54" s="5"/>
      <c r="I54" s="8"/>
      <c r="J54" s="8"/>
      <c r="K54" s="8" t="str">
        <f t="shared" si="2"/>
        <v/>
      </c>
      <c r="L54" s="8" t="s">
        <v>228</v>
      </c>
      <c r="M54" s="8" t="s">
        <v>418</v>
      </c>
      <c r="N54" s="8" t="str">
        <f t="shared" si="3"/>
        <v>N</v>
      </c>
      <c r="O54" s="5" t="s">
        <v>419</v>
      </c>
      <c r="P54" s="5"/>
    </row>
    <row r="55" spans="1:16" ht="46" customHeight="1">
      <c r="A55" s="5" t="s">
        <v>420</v>
      </c>
      <c r="B55" s="5" t="s">
        <v>421</v>
      </c>
      <c r="C55" s="5" t="s">
        <v>66</v>
      </c>
      <c r="D55" s="5" t="s">
        <v>422</v>
      </c>
      <c r="E55" s="5" t="s">
        <v>29</v>
      </c>
      <c r="F55" s="6"/>
      <c r="G55" s="7">
        <v>10931037</v>
      </c>
      <c r="H55" s="5" t="s">
        <v>47</v>
      </c>
      <c r="I55" s="8">
        <v>2023</v>
      </c>
      <c r="J55" s="8" t="s">
        <v>48</v>
      </c>
      <c r="K55" s="8" t="str">
        <f t="shared" si="2"/>
        <v>N</v>
      </c>
      <c r="L55" s="8" t="s">
        <v>33</v>
      </c>
      <c r="M55" s="8" t="s">
        <v>423</v>
      </c>
      <c r="N55" s="8" t="str">
        <f t="shared" si="3"/>
        <v>N</v>
      </c>
      <c r="O55" s="5" t="s">
        <v>424</v>
      </c>
      <c r="P55" s="5" t="s">
        <v>425</v>
      </c>
    </row>
    <row r="56" spans="1:16" ht="46" customHeight="1">
      <c r="A56" s="5" t="s">
        <v>426</v>
      </c>
      <c r="B56" s="5" t="s">
        <v>427</v>
      </c>
      <c r="C56" s="5" t="s">
        <v>27</v>
      </c>
      <c r="D56" s="5" t="s">
        <v>428</v>
      </c>
      <c r="E56" s="5" t="s">
        <v>29</v>
      </c>
      <c r="F56" s="6"/>
      <c r="G56" s="7"/>
      <c r="H56" s="5"/>
      <c r="I56" s="8"/>
      <c r="J56" s="8"/>
      <c r="K56" s="8" t="str">
        <f t="shared" si="2"/>
        <v/>
      </c>
      <c r="L56" s="8" t="s">
        <v>228</v>
      </c>
      <c r="M56" s="8" t="s">
        <v>429</v>
      </c>
      <c r="N56" s="8" t="str">
        <f t="shared" si="3"/>
        <v>N</v>
      </c>
      <c r="O56" s="5" t="s">
        <v>430</v>
      </c>
      <c r="P56" s="5"/>
    </row>
    <row r="57" spans="1:16" ht="46" customHeight="1">
      <c r="A57" s="5" t="s">
        <v>431</v>
      </c>
      <c r="B57" s="5" t="s">
        <v>96</v>
      </c>
      <c r="C57" s="5" t="s">
        <v>66</v>
      </c>
      <c r="D57" s="5" t="s">
        <v>432</v>
      </c>
      <c r="E57" s="5" t="s">
        <v>40</v>
      </c>
      <c r="F57" s="6">
        <v>80</v>
      </c>
      <c r="G57" s="7">
        <v>10400000</v>
      </c>
      <c r="H57" s="5" t="s">
        <v>86</v>
      </c>
      <c r="I57" s="8" t="s">
        <v>31</v>
      </c>
      <c r="J57" s="8" t="s">
        <v>32</v>
      </c>
      <c r="K57" s="8" t="str">
        <f t="shared" si="2"/>
        <v>N</v>
      </c>
      <c r="L57" s="8" t="s">
        <v>33</v>
      </c>
      <c r="M57" s="8" t="s">
        <v>433</v>
      </c>
      <c r="N57" s="8" t="str">
        <f t="shared" si="3"/>
        <v>N</v>
      </c>
      <c r="O57" s="5" t="s">
        <v>434</v>
      </c>
      <c r="P57" s="5" t="s">
        <v>435</v>
      </c>
    </row>
    <row r="58" spans="1:16" ht="46" customHeight="1">
      <c r="A58" s="5" t="s">
        <v>436</v>
      </c>
      <c r="B58" s="5" t="s">
        <v>437</v>
      </c>
      <c r="C58" s="5" t="s">
        <v>27</v>
      </c>
      <c r="D58" s="5" t="s">
        <v>172</v>
      </c>
      <c r="E58" s="5" t="s">
        <v>29</v>
      </c>
      <c r="F58" s="6"/>
      <c r="G58" s="7"/>
      <c r="H58" s="5"/>
      <c r="I58" s="8"/>
      <c r="J58" s="8"/>
      <c r="K58" s="8" t="str">
        <f t="shared" si="2"/>
        <v/>
      </c>
      <c r="L58" s="8" t="s">
        <v>228</v>
      </c>
      <c r="M58" s="8" t="s">
        <v>418</v>
      </c>
      <c r="N58" s="8" t="str">
        <f t="shared" si="3"/>
        <v>N</v>
      </c>
      <c r="O58" s="5" t="s">
        <v>438</v>
      </c>
      <c r="P58" s="5"/>
    </row>
    <row r="59" spans="1:16" ht="46" customHeight="1">
      <c r="A59" s="5" t="s">
        <v>439</v>
      </c>
      <c r="B59" s="5" t="s">
        <v>440</v>
      </c>
      <c r="C59" s="5" t="s">
        <v>27</v>
      </c>
      <c r="D59" s="5" t="s">
        <v>46</v>
      </c>
      <c r="E59" s="5" t="s">
        <v>29</v>
      </c>
      <c r="F59" s="6"/>
      <c r="G59" s="7"/>
      <c r="H59" s="5"/>
      <c r="I59" s="8"/>
      <c r="J59" s="8"/>
      <c r="K59" s="8" t="str">
        <f t="shared" si="2"/>
        <v/>
      </c>
      <c r="L59" s="8" t="s">
        <v>228</v>
      </c>
      <c r="M59" s="8" t="s">
        <v>229</v>
      </c>
      <c r="N59" s="8" t="str">
        <f t="shared" si="3"/>
        <v>N</v>
      </c>
      <c r="O59" s="5" t="s">
        <v>441</v>
      </c>
      <c r="P59" s="5"/>
    </row>
    <row r="60" spans="1:16" ht="46" customHeight="1">
      <c r="A60" s="5" t="s">
        <v>442</v>
      </c>
      <c r="B60" s="5" t="s">
        <v>443</v>
      </c>
      <c r="C60" s="5" t="s">
        <v>38</v>
      </c>
      <c r="D60" s="5" t="s">
        <v>444</v>
      </c>
      <c r="E60" s="5" t="s">
        <v>111</v>
      </c>
      <c r="F60" s="6">
        <v>67</v>
      </c>
      <c r="G60" s="7">
        <v>2934265</v>
      </c>
      <c r="H60" s="5" t="s">
        <v>47</v>
      </c>
      <c r="I60" s="8">
        <v>2024</v>
      </c>
      <c r="J60" s="8" t="s">
        <v>48</v>
      </c>
      <c r="K60" s="8" t="str">
        <f t="shared" si="2"/>
        <v>N</v>
      </c>
      <c r="L60" s="8" t="s">
        <v>33</v>
      </c>
      <c r="M60" s="8" t="s">
        <v>445</v>
      </c>
      <c r="N60" s="8" t="str">
        <f t="shared" si="3"/>
        <v>N</v>
      </c>
      <c r="O60" s="5" t="s">
        <v>446</v>
      </c>
      <c r="P60" s="5" t="s">
        <v>447</v>
      </c>
    </row>
    <row r="61" spans="1:16" ht="46" customHeight="1">
      <c r="A61" s="5" t="s">
        <v>448</v>
      </c>
      <c r="B61" s="5" t="s">
        <v>252</v>
      </c>
      <c r="C61" s="5" t="s">
        <v>27</v>
      </c>
      <c r="D61" s="5" t="s">
        <v>449</v>
      </c>
      <c r="E61" s="5" t="s">
        <v>29</v>
      </c>
      <c r="F61" s="6"/>
      <c r="G61" s="7"/>
      <c r="H61" s="5"/>
      <c r="I61" s="8"/>
      <c r="J61" s="8"/>
      <c r="K61" s="8" t="str">
        <f t="shared" si="2"/>
        <v/>
      </c>
      <c r="L61" s="8" t="s">
        <v>228</v>
      </c>
      <c r="M61" s="8" t="s">
        <v>229</v>
      </c>
      <c r="N61" s="8" t="str">
        <f t="shared" si="3"/>
        <v>N</v>
      </c>
      <c r="O61" s="5" t="s">
        <v>450</v>
      </c>
      <c r="P61" s="5"/>
    </row>
    <row r="62" spans="1:16" ht="46" customHeight="1">
      <c r="A62" s="5" t="s">
        <v>451</v>
      </c>
      <c r="B62" s="5" t="s">
        <v>452</v>
      </c>
      <c r="C62" s="5" t="s">
        <v>27</v>
      </c>
      <c r="D62" s="5" t="s">
        <v>453</v>
      </c>
      <c r="E62" s="5" t="s">
        <v>29</v>
      </c>
      <c r="F62" s="6">
        <v>89</v>
      </c>
      <c r="G62" s="7"/>
      <c r="H62" s="5"/>
      <c r="I62" s="8"/>
      <c r="J62" s="8"/>
      <c r="K62" s="8" t="str">
        <f t="shared" si="2"/>
        <v/>
      </c>
      <c r="L62" s="8" t="s">
        <v>228</v>
      </c>
      <c r="M62" s="8" t="s">
        <v>249</v>
      </c>
      <c r="N62" s="8" t="str">
        <f t="shared" si="3"/>
        <v>N</v>
      </c>
      <c r="O62" s="5" t="s">
        <v>454</v>
      </c>
      <c r="P62" s="5"/>
    </row>
    <row r="63" spans="1:16" ht="46" customHeight="1">
      <c r="A63" s="5" t="s">
        <v>455</v>
      </c>
      <c r="B63" s="5" t="s">
        <v>252</v>
      </c>
      <c r="C63" s="5" t="s">
        <v>27</v>
      </c>
      <c r="D63" s="5" t="s">
        <v>456</v>
      </c>
      <c r="E63" s="5" t="s">
        <v>29</v>
      </c>
      <c r="F63" s="6"/>
      <c r="G63" s="7"/>
      <c r="H63" s="5"/>
      <c r="I63" s="8"/>
      <c r="J63" s="8"/>
      <c r="K63" s="8" t="str">
        <f t="shared" si="2"/>
        <v/>
      </c>
      <c r="L63" s="8" t="s">
        <v>228</v>
      </c>
      <c r="M63" s="8" t="s">
        <v>229</v>
      </c>
      <c r="N63" s="8" t="str">
        <f t="shared" si="3"/>
        <v>N</v>
      </c>
      <c r="O63" s="5" t="s">
        <v>457</v>
      </c>
      <c r="P63" s="5"/>
    </row>
    <row r="64" spans="1:16" ht="46" customHeight="1">
      <c r="A64" s="5" t="s">
        <v>458</v>
      </c>
      <c r="B64" s="5" t="s">
        <v>459</v>
      </c>
      <c r="C64" s="5" t="s">
        <v>27</v>
      </c>
      <c r="D64" s="5" t="s">
        <v>91</v>
      </c>
      <c r="E64" s="5" t="s">
        <v>29</v>
      </c>
      <c r="F64" s="6"/>
      <c r="G64" s="7"/>
      <c r="H64" s="5"/>
      <c r="I64" s="8"/>
      <c r="J64" s="8"/>
      <c r="K64" s="8" t="str">
        <f t="shared" si="2"/>
        <v/>
      </c>
      <c r="L64" s="8" t="s">
        <v>228</v>
      </c>
      <c r="M64" s="8" t="s">
        <v>460</v>
      </c>
      <c r="N64" s="8" t="str">
        <f t="shared" si="3"/>
        <v>N</v>
      </c>
      <c r="O64" s="5" t="s">
        <v>461</v>
      </c>
      <c r="P64" s="5"/>
    </row>
    <row r="65" spans="1:16" ht="46" customHeight="1">
      <c r="A65" s="5" t="s">
        <v>462</v>
      </c>
      <c r="B65" s="5" t="s">
        <v>463</v>
      </c>
      <c r="C65" s="5" t="s">
        <v>66</v>
      </c>
      <c r="D65" s="5" t="s">
        <v>464</v>
      </c>
      <c r="E65" s="5" t="s">
        <v>29</v>
      </c>
      <c r="F65" s="6"/>
      <c r="G65" s="7">
        <v>10039381</v>
      </c>
      <c r="H65" s="5" t="s">
        <v>47</v>
      </c>
      <c r="I65" s="8">
        <v>2025</v>
      </c>
      <c r="J65" s="8" t="s">
        <v>48</v>
      </c>
      <c r="K65" s="8" t="str">
        <f t="shared" si="2"/>
        <v>N</v>
      </c>
      <c r="L65" s="8" t="s">
        <v>33</v>
      </c>
      <c r="M65" s="8" t="s">
        <v>465</v>
      </c>
      <c r="N65" s="8" t="str">
        <f t="shared" si="3"/>
        <v>N</v>
      </c>
      <c r="O65" s="5" t="s">
        <v>466</v>
      </c>
      <c r="P65" s="5" t="s">
        <v>467</v>
      </c>
    </row>
    <row r="66" spans="1:16" ht="46" customHeight="1">
      <c r="A66" s="5" t="s">
        <v>468</v>
      </c>
      <c r="B66" s="5" t="s">
        <v>469</v>
      </c>
      <c r="C66" s="5" t="s">
        <v>470</v>
      </c>
      <c r="D66" s="5" t="s">
        <v>471</v>
      </c>
      <c r="E66" s="5" t="s">
        <v>74</v>
      </c>
      <c r="F66" s="6">
        <v>92</v>
      </c>
      <c r="G66" s="7"/>
      <c r="H66" s="5"/>
      <c r="I66" s="8"/>
      <c r="J66" s="8"/>
      <c r="K66" s="8" t="str">
        <f t="shared" si="2"/>
        <v/>
      </c>
      <c r="L66" s="8" t="s">
        <v>228</v>
      </c>
      <c r="M66" s="8" t="s">
        <v>472</v>
      </c>
      <c r="N66" s="8" t="str">
        <f t="shared" si="3"/>
        <v>N</v>
      </c>
      <c r="O66" s="5" t="s">
        <v>473</v>
      </c>
      <c r="P66" s="5"/>
    </row>
    <row r="67" spans="1:16" ht="46" customHeight="1">
      <c r="A67" s="5" t="s">
        <v>474</v>
      </c>
      <c r="B67" s="5" t="s">
        <v>263</v>
      </c>
      <c r="C67" s="5" t="s">
        <v>263</v>
      </c>
      <c r="D67" s="5" t="s">
        <v>475</v>
      </c>
      <c r="E67" s="5" t="s">
        <v>29</v>
      </c>
      <c r="F67" s="6">
        <v>85</v>
      </c>
      <c r="G67" s="7"/>
      <c r="H67" s="5"/>
      <c r="I67" s="8"/>
      <c r="J67" s="8"/>
      <c r="K67" s="8" t="str">
        <f t="shared" si="2"/>
        <v/>
      </c>
      <c r="L67" s="8" t="s">
        <v>228</v>
      </c>
      <c r="M67" s="8" t="s">
        <v>409</v>
      </c>
      <c r="N67" s="8" t="str">
        <f t="shared" si="3"/>
        <v>N</v>
      </c>
      <c r="O67" s="5"/>
      <c r="P67" s="5"/>
    </row>
    <row r="68" spans="1:16" ht="46" customHeight="1">
      <c r="A68" s="5" t="s">
        <v>476</v>
      </c>
      <c r="B68" s="5" t="s">
        <v>477</v>
      </c>
      <c r="C68" s="5" t="s">
        <v>478</v>
      </c>
      <c r="D68" s="5" t="s">
        <v>479</v>
      </c>
      <c r="E68" s="5" t="s">
        <v>74</v>
      </c>
      <c r="F68" s="6"/>
      <c r="G68" s="7"/>
      <c r="H68" s="5"/>
      <c r="I68" s="8"/>
      <c r="J68" s="8"/>
      <c r="K68" s="8" t="str">
        <f t="shared" si="2"/>
        <v/>
      </c>
      <c r="L68" s="8" t="s">
        <v>228</v>
      </c>
      <c r="M68" s="8" t="s">
        <v>480</v>
      </c>
      <c r="N68" s="8" t="str">
        <f t="shared" si="3"/>
        <v>N</v>
      </c>
      <c r="O68" s="5" t="s">
        <v>481</v>
      </c>
      <c r="P68" s="5"/>
    </row>
    <row r="69" spans="1:16" ht="46" customHeight="1">
      <c r="A69" s="5" t="s">
        <v>482</v>
      </c>
      <c r="B69" s="5" t="s">
        <v>346</v>
      </c>
      <c r="C69" s="5" t="s">
        <v>27</v>
      </c>
      <c r="D69" s="5" t="s">
        <v>91</v>
      </c>
      <c r="E69" s="5" t="s">
        <v>29</v>
      </c>
      <c r="F69" s="6">
        <v>99</v>
      </c>
      <c r="G69" s="7"/>
      <c r="H69" s="5"/>
      <c r="I69" s="8"/>
      <c r="J69" s="8"/>
      <c r="K69" s="8" t="str">
        <f t="shared" si="2"/>
        <v/>
      </c>
      <c r="L69" s="8" t="s">
        <v>228</v>
      </c>
      <c r="M69" s="8" t="s">
        <v>347</v>
      </c>
      <c r="N69" s="8" t="str">
        <f t="shared" si="3"/>
        <v>N</v>
      </c>
      <c r="O69" s="5" t="s">
        <v>483</v>
      </c>
      <c r="P69" s="5"/>
    </row>
    <row r="70" spans="1:16" ht="46" customHeight="1">
      <c r="A70" s="5" t="s">
        <v>484</v>
      </c>
      <c r="B70" s="5" t="s">
        <v>485</v>
      </c>
      <c r="C70" s="5" t="s">
        <v>27</v>
      </c>
      <c r="D70" s="5" t="s">
        <v>91</v>
      </c>
      <c r="E70" s="5" t="s">
        <v>29</v>
      </c>
      <c r="F70" s="6"/>
      <c r="G70" s="7"/>
      <c r="H70" s="5"/>
      <c r="I70" s="8"/>
      <c r="J70" s="8"/>
      <c r="K70" s="8" t="str">
        <f t="shared" ref="K70:K101" si="4">IF(G70="","",IF(G70&gt;=$E$4,"Y","N"))</f>
        <v/>
      </c>
      <c r="L70" s="8" t="s">
        <v>228</v>
      </c>
      <c r="M70" s="8" t="s">
        <v>486</v>
      </c>
      <c r="N70" s="8" t="str">
        <f t="shared" ref="N70:N101" si="5">IF(AND(K70="Y",L70="Y",M70=""),"Y","N")</f>
        <v>N</v>
      </c>
      <c r="O70" s="5" t="s">
        <v>487</v>
      </c>
      <c r="P70" s="5"/>
    </row>
    <row r="71" spans="1:16" ht="46" customHeight="1">
      <c r="A71" s="5" t="s">
        <v>488</v>
      </c>
      <c r="B71" s="5" t="s">
        <v>232</v>
      </c>
      <c r="C71" s="5" t="s">
        <v>27</v>
      </c>
      <c r="D71" s="5" t="s">
        <v>489</v>
      </c>
      <c r="E71" s="5" t="s">
        <v>29</v>
      </c>
      <c r="F71" s="6">
        <v>82</v>
      </c>
      <c r="G71" s="7"/>
      <c r="H71" s="5"/>
      <c r="I71" s="8"/>
      <c r="J71" s="8"/>
      <c r="K71" s="8" t="str">
        <f t="shared" si="4"/>
        <v/>
      </c>
      <c r="L71" s="8" t="s">
        <v>228</v>
      </c>
      <c r="M71" s="8" t="s">
        <v>234</v>
      </c>
      <c r="N71" s="8" t="str">
        <f t="shared" si="5"/>
        <v>N</v>
      </c>
      <c r="O71" s="5" t="s">
        <v>490</v>
      </c>
      <c r="P71" s="5"/>
    </row>
    <row r="72" spans="1:16" ht="46" customHeight="1">
      <c r="A72" s="5" t="s">
        <v>491</v>
      </c>
      <c r="B72" s="5" t="s">
        <v>492</v>
      </c>
      <c r="C72" s="5" t="s">
        <v>27</v>
      </c>
      <c r="D72" s="5" t="s">
        <v>493</v>
      </c>
      <c r="E72" s="5" t="s">
        <v>29</v>
      </c>
      <c r="F72" s="6"/>
      <c r="G72" s="7"/>
      <c r="H72" s="5"/>
      <c r="I72" s="8"/>
      <c r="J72" s="8"/>
      <c r="K72" s="8" t="str">
        <f t="shared" si="4"/>
        <v/>
      </c>
      <c r="L72" s="8" t="s">
        <v>228</v>
      </c>
      <c r="M72" s="8" t="s">
        <v>494</v>
      </c>
      <c r="N72" s="8" t="str">
        <f t="shared" si="5"/>
        <v>N</v>
      </c>
      <c r="O72" s="5" t="s">
        <v>495</v>
      </c>
      <c r="P72" s="5"/>
    </row>
    <row r="73" spans="1:16" ht="46" customHeight="1">
      <c r="A73" s="5" t="s">
        <v>496</v>
      </c>
      <c r="B73" s="5" t="s">
        <v>252</v>
      </c>
      <c r="C73" s="5" t="s">
        <v>27</v>
      </c>
      <c r="D73" s="5" t="s">
        <v>497</v>
      </c>
      <c r="E73" s="5" t="s">
        <v>111</v>
      </c>
      <c r="F73" s="6">
        <v>64</v>
      </c>
      <c r="G73" s="7"/>
      <c r="H73" s="5"/>
      <c r="I73" s="8"/>
      <c r="J73" s="8"/>
      <c r="K73" s="8" t="str">
        <f t="shared" si="4"/>
        <v/>
      </c>
      <c r="L73" s="8" t="s">
        <v>228</v>
      </c>
      <c r="M73" s="8" t="s">
        <v>229</v>
      </c>
      <c r="N73" s="8" t="str">
        <f t="shared" si="5"/>
        <v>N</v>
      </c>
      <c r="O73" s="5"/>
      <c r="P73" s="5"/>
    </row>
    <row r="74" spans="1:16" ht="46" customHeight="1">
      <c r="A74" s="5" t="s">
        <v>498</v>
      </c>
      <c r="B74" s="5" t="s">
        <v>252</v>
      </c>
      <c r="C74" s="5" t="s">
        <v>27</v>
      </c>
      <c r="D74" s="5" t="s">
        <v>499</v>
      </c>
      <c r="E74" s="5" t="s">
        <v>29</v>
      </c>
      <c r="F74" s="6"/>
      <c r="G74" s="7"/>
      <c r="H74" s="5"/>
      <c r="I74" s="8"/>
      <c r="J74" s="8"/>
      <c r="K74" s="8" t="str">
        <f t="shared" si="4"/>
        <v/>
      </c>
      <c r="L74" s="8" t="s">
        <v>228</v>
      </c>
      <c r="M74" s="8" t="s">
        <v>229</v>
      </c>
      <c r="N74" s="8" t="str">
        <f t="shared" si="5"/>
        <v>N</v>
      </c>
      <c r="O74" s="5" t="s">
        <v>500</v>
      </c>
      <c r="P74" s="5"/>
    </row>
    <row r="75" spans="1:16" ht="46" customHeight="1">
      <c r="A75" s="5" t="s">
        <v>501</v>
      </c>
      <c r="B75" s="5" t="s">
        <v>502</v>
      </c>
      <c r="C75" s="5" t="s">
        <v>27</v>
      </c>
      <c r="D75" s="5" t="s">
        <v>503</v>
      </c>
      <c r="E75" s="5" t="s">
        <v>29</v>
      </c>
      <c r="F75" s="6"/>
      <c r="G75" s="7"/>
      <c r="H75" s="5"/>
      <c r="I75" s="8"/>
      <c r="J75" s="8"/>
      <c r="K75" s="8" t="str">
        <f t="shared" si="4"/>
        <v/>
      </c>
      <c r="L75" s="8" t="s">
        <v>228</v>
      </c>
      <c r="M75" s="8" t="s">
        <v>301</v>
      </c>
      <c r="N75" s="8" t="str">
        <f t="shared" si="5"/>
        <v>N</v>
      </c>
      <c r="O75" s="5"/>
      <c r="P75" s="5"/>
    </row>
    <row r="76" spans="1:16" ht="46" customHeight="1">
      <c r="A76" s="5" t="s">
        <v>504</v>
      </c>
      <c r="B76" s="5" t="s">
        <v>505</v>
      </c>
      <c r="C76" s="5" t="s">
        <v>27</v>
      </c>
      <c r="D76" s="5" t="s">
        <v>91</v>
      </c>
      <c r="E76" s="5" t="s">
        <v>29</v>
      </c>
      <c r="F76" s="6"/>
      <c r="G76" s="7"/>
      <c r="H76" s="5"/>
      <c r="I76" s="8"/>
      <c r="J76" s="8"/>
      <c r="K76" s="8" t="str">
        <f t="shared" si="4"/>
        <v/>
      </c>
      <c r="L76" s="8" t="s">
        <v>228</v>
      </c>
      <c r="M76" s="8" t="s">
        <v>301</v>
      </c>
      <c r="N76" s="8" t="str">
        <f t="shared" si="5"/>
        <v>N</v>
      </c>
      <c r="O76" s="5" t="s">
        <v>506</v>
      </c>
      <c r="P76" s="5"/>
    </row>
    <row r="77" spans="1:16" ht="46" customHeight="1">
      <c r="A77" s="5" t="s">
        <v>507</v>
      </c>
      <c r="B77" s="5" t="s">
        <v>295</v>
      </c>
      <c r="C77" s="5" t="s">
        <v>27</v>
      </c>
      <c r="D77" s="5" t="s">
        <v>508</v>
      </c>
      <c r="E77" s="5" t="s">
        <v>29</v>
      </c>
      <c r="F77" s="6"/>
      <c r="G77" s="7"/>
      <c r="H77" s="5"/>
      <c r="I77" s="8"/>
      <c r="J77" s="8"/>
      <c r="K77" s="8" t="str">
        <f t="shared" si="4"/>
        <v/>
      </c>
      <c r="L77" s="8" t="s">
        <v>228</v>
      </c>
      <c r="M77" s="8" t="s">
        <v>249</v>
      </c>
      <c r="N77" s="8" t="str">
        <f t="shared" si="5"/>
        <v>N</v>
      </c>
      <c r="O77" s="5" t="s">
        <v>509</v>
      </c>
      <c r="P77" s="5"/>
    </row>
    <row r="78" spans="1:16" ht="46" customHeight="1">
      <c r="A78" s="5" t="s">
        <v>510</v>
      </c>
      <c r="B78" s="5" t="s">
        <v>263</v>
      </c>
      <c r="C78" s="5" t="s">
        <v>263</v>
      </c>
      <c r="D78" s="5" t="s">
        <v>272</v>
      </c>
      <c r="E78" s="5" t="s">
        <v>29</v>
      </c>
      <c r="F78" s="6"/>
      <c r="G78" s="7"/>
      <c r="H78" s="5"/>
      <c r="I78" s="8"/>
      <c r="J78" s="8"/>
      <c r="K78" s="8" t="str">
        <f t="shared" si="4"/>
        <v/>
      </c>
      <c r="L78" s="8" t="s">
        <v>228</v>
      </c>
      <c r="M78" s="8" t="s">
        <v>265</v>
      </c>
      <c r="N78" s="8" t="str">
        <f t="shared" si="5"/>
        <v>N</v>
      </c>
      <c r="O78" s="5"/>
      <c r="P78" s="5"/>
    </row>
    <row r="79" spans="1:16" ht="46" customHeight="1">
      <c r="A79" s="5" t="s">
        <v>511</v>
      </c>
      <c r="B79" s="5" t="s">
        <v>512</v>
      </c>
      <c r="C79" s="5" t="s">
        <v>27</v>
      </c>
      <c r="D79" s="5" t="s">
        <v>513</v>
      </c>
      <c r="E79" s="5" t="s">
        <v>29</v>
      </c>
      <c r="F79" s="6">
        <v>96</v>
      </c>
      <c r="G79" s="7"/>
      <c r="H79" s="5"/>
      <c r="I79" s="8"/>
      <c r="J79" s="8"/>
      <c r="K79" s="8" t="str">
        <f t="shared" si="4"/>
        <v/>
      </c>
      <c r="L79" s="8" t="s">
        <v>228</v>
      </c>
      <c r="M79" s="8" t="s">
        <v>234</v>
      </c>
      <c r="N79" s="8" t="str">
        <f t="shared" si="5"/>
        <v>N</v>
      </c>
      <c r="O79" s="5" t="s">
        <v>514</v>
      </c>
      <c r="P79" s="5"/>
    </row>
    <row r="80" spans="1:16" ht="46" customHeight="1">
      <c r="A80" s="5" t="s">
        <v>515</v>
      </c>
      <c r="B80" s="5" t="s">
        <v>252</v>
      </c>
      <c r="C80" s="5" t="s">
        <v>27</v>
      </c>
      <c r="D80" s="5" t="s">
        <v>516</v>
      </c>
      <c r="E80" s="5" t="s">
        <v>29</v>
      </c>
      <c r="F80" s="6">
        <v>96</v>
      </c>
      <c r="G80" s="7"/>
      <c r="H80" s="5"/>
      <c r="I80" s="8"/>
      <c r="J80" s="8"/>
      <c r="K80" s="8" t="str">
        <f t="shared" si="4"/>
        <v/>
      </c>
      <c r="L80" s="8" t="s">
        <v>228</v>
      </c>
      <c r="M80" s="8" t="s">
        <v>229</v>
      </c>
      <c r="N80" s="8" t="str">
        <f t="shared" si="5"/>
        <v>N</v>
      </c>
      <c r="O80" s="5" t="s">
        <v>517</v>
      </c>
      <c r="P80" s="5"/>
    </row>
    <row r="81" spans="1:16" ht="46" customHeight="1">
      <c r="A81" s="5" t="s">
        <v>518</v>
      </c>
      <c r="B81" s="5" t="s">
        <v>252</v>
      </c>
      <c r="C81" s="5" t="s">
        <v>27</v>
      </c>
      <c r="D81" s="5" t="s">
        <v>519</v>
      </c>
      <c r="E81" s="5" t="s">
        <v>29</v>
      </c>
      <c r="F81" s="6"/>
      <c r="G81" s="7"/>
      <c r="H81" s="5"/>
      <c r="I81" s="8"/>
      <c r="J81" s="8"/>
      <c r="K81" s="8" t="str">
        <f t="shared" si="4"/>
        <v/>
      </c>
      <c r="L81" s="8" t="s">
        <v>228</v>
      </c>
      <c r="M81" s="8" t="s">
        <v>229</v>
      </c>
      <c r="N81" s="8" t="str">
        <f t="shared" si="5"/>
        <v>N</v>
      </c>
      <c r="O81" s="5" t="s">
        <v>520</v>
      </c>
      <c r="P81" s="5"/>
    </row>
    <row r="82" spans="1:16" ht="46" customHeight="1">
      <c r="A82" s="5" t="s">
        <v>521</v>
      </c>
      <c r="B82" s="5" t="s">
        <v>522</v>
      </c>
      <c r="C82" s="5" t="s">
        <v>470</v>
      </c>
      <c r="D82" s="5" t="s">
        <v>253</v>
      </c>
      <c r="E82" s="5" t="s">
        <v>60</v>
      </c>
      <c r="F82" s="6">
        <v>91</v>
      </c>
      <c r="G82" s="7"/>
      <c r="H82" s="5"/>
      <c r="I82" s="8"/>
      <c r="J82" s="8"/>
      <c r="K82" s="8" t="str">
        <f t="shared" si="4"/>
        <v/>
      </c>
      <c r="L82" s="8" t="s">
        <v>228</v>
      </c>
      <c r="M82" s="8" t="s">
        <v>472</v>
      </c>
      <c r="N82" s="8" t="str">
        <f t="shared" si="5"/>
        <v>N</v>
      </c>
      <c r="O82" s="5" t="s">
        <v>523</v>
      </c>
      <c r="P82" s="5"/>
    </row>
    <row r="83" spans="1:16" ht="46" customHeight="1">
      <c r="A83" s="5" t="s">
        <v>524</v>
      </c>
      <c r="B83" s="5" t="s">
        <v>525</v>
      </c>
      <c r="C83" s="5" t="s">
        <v>526</v>
      </c>
      <c r="D83" s="5" t="s">
        <v>527</v>
      </c>
      <c r="E83" s="5" t="s">
        <v>29</v>
      </c>
      <c r="F83" s="6"/>
      <c r="G83" s="7"/>
      <c r="H83" s="5"/>
      <c r="I83" s="8"/>
      <c r="J83" s="8"/>
      <c r="K83" s="8" t="str">
        <f t="shared" si="4"/>
        <v/>
      </c>
      <c r="L83" s="8" t="s">
        <v>228</v>
      </c>
      <c r="M83" s="8" t="s">
        <v>528</v>
      </c>
      <c r="N83" s="8" t="str">
        <f t="shared" si="5"/>
        <v>N</v>
      </c>
      <c r="O83" s="5" t="s">
        <v>529</v>
      </c>
      <c r="P83" s="5"/>
    </row>
    <row r="84" spans="1:16" ht="46" customHeight="1">
      <c r="A84" s="5" t="s">
        <v>530</v>
      </c>
      <c r="B84" s="5" t="s">
        <v>531</v>
      </c>
      <c r="C84" s="5" t="s">
        <v>66</v>
      </c>
      <c r="D84" s="5" t="s">
        <v>532</v>
      </c>
      <c r="E84" s="5" t="s">
        <v>111</v>
      </c>
      <c r="F84" s="6">
        <v>64</v>
      </c>
      <c r="G84" s="7">
        <v>1752780</v>
      </c>
      <c r="H84" s="5" t="s">
        <v>86</v>
      </c>
      <c r="I84" s="8" t="s">
        <v>31</v>
      </c>
      <c r="J84" s="8" t="s">
        <v>32</v>
      </c>
      <c r="K84" s="8" t="str">
        <f t="shared" si="4"/>
        <v>N</v>
      </c>
      <c r="L84" s="8" t="s">
        <v>33</v>
      </c>
      <c r="M84" s="8" t="s">
        <v>533</v>
      </c>
      <c r="N84" s="8" t="str">
        <f t="shared" si="5"/>
        <v>N</v>
      </c>
      <c r="O84" s="5" t="s">
        <v>534</v>
      </c>
      <c r="P84" s="5" t="s">
        <v>535</v>
      </c>
    </row>
    <row r="85" spans="1:16" ht="46" customHeight="1">
      <c r="A85" s="5" t="s">
        <v>536</v>
      </c>
      <c r="B85" s="5" t="s">
        <v>194</v>
      </c>
      <c r="C85" s="5" t="s">
        <v>27</v>
      </c>
      <c r="D85" s="5" t="s">
        <v>46</v>
      </c>
      <c r="E85" s="5" t="s">
        <v>74</v>
      </c>
      <c r="F85" s="6"/>
      <c r="G85" s="7"/>
      <c r="H85" s="5"/>
      <c r="I85" s="8"/>
      <c r="J85" s="8"/>
      <c r="K85" s="8" t="str">
        <f t="shared" si="4"/>
        <v/>
      </c>
      <c r="L85" s="8" t="s">
        <v>228</v>
      </c>
      <c r="M85" s="8" t="s">
        <v>537</v>
      </c>
      <c r="N85" s="8" t="str">
        <f t="shared" si="5"/>
        <v>N</v>
      </c>
      <c r="O85" s="5" t="s">
        <v>538</v>
      </c>
      <c r="P85" s="5"/>
    </row>
    <row r="86" spans="1:16" ht="46" customHeight="1">
      <c r="A86" s="5" t="s">
        <v>539</v>
      </c>
      <c r="B86" s="5" t="s">
        <v>540</v>
      </c>
      <c r="C86" s="5" t="s">
        <v>27</v>
      </c>
      <c r="D86" s="5" t="s">
        <v>541</v>
      </c>
      <c r="E86" s="5" t="s">
        <v>111</v>
      </c>
      <c r="F86" s="6"/>
      <c r="G86" s="7"/>
      <c r="H86" s="5"/>
      <c r="I86" s="8"/>
      <c r="J86" s="8"/>
      <c r="K86" s="8" t="str">
        <f t="shared" si="4"/>
        <v/>
      </c>
      <c r="L86" s="8" t="s">
        <v>228</v>
      </c>
      <c r="M86" s="8" t="s">
        <v>234</v>
      </c>
      <c r="N86" s="8" t="str">
        <f t="shared" si="5"/>
        <v>N</v>
      </c>
      <c r="O86" s="5" t="s">
        <v>542</v>
      </c>
      <c r="P86" s="5"/>
    </row>
    <row r="87" spans="1:16" ht="46" customHeight="1">
      <c r="A87" s="5" t="s">
        <v>543</v>
      </c>
      <c r="B87" s="5" t="s">
        <v>226</v>
      </c>
      <c r="C87" s="5" t="s">
        <v>27</v>
      </c>
      <c r="D87" s="5" t="s">
        <v>91</v>
      </c>
      <c r="E87" s="5" t="s">
        <v>29</v>
      </c>
      <c r="F87" s="6"/>
      <c r="G87" s="7"/>
      <c r="H87" s="5"/>
      <c r="I87" s="8"/>
      <c r="J87" s="8"/>
      <c r="K87" s="8" t="str">
        <f t="shared" si="4"/>
        <v/>
      </c>
      <c r="L87" s="8" t="s">
        <v>228</v>
      </c>
      <c r="M87" s="8" t="s">
        <v>229</v>
      </c>
      <c r="N87" s="8" t="str">
        <f t="shared" si="5"/>
        <v>N</v>
      </c>
      <c r="O87" s="5" t="s">
        <v>544</v>
      </c>
      <c r="P87" s="5"/>
    </row>
    <row r="88" spans="1:16" ht="46" customHeight="1">
      <c r="A88" s="5" t="s">
        <v>545</v>
      </c>
      <c r="B88" s="5" t="s">
        <v>546</v>
      </c>
      <c r="C88" s="5" t="s">
        <v>547</v>
      </c>
      <c r="D88" s="5" t="s">
        <v>46</v>
      </c>
      <c r="E88" s="5" t="s">
        <v>29</v>
      </c>
      <c r="F88" s="6">
        <v>95</v>
      </c>
      <c r="G88" s="7"/>
      <c r="H88" s="5"/>
      <c r="I88" s="8"/>
      <c r="J88" s="8"/>
      <c r="K88" s="8" t="str">
        <f t="shared" si="4"/>
        <v/>
      </c>
      <c r="L88" s="8" t="s">
        <v>228</v>
      </c>
      <c r="M88" s="8" t="s">
        <v>548</v>
      </c>
      <c r="N88" s="8" t="str">
        <f t="shared" si="5"/>
        <v>N</v>
      </c>
      <c r="O88" s="5" t="s">
        <v>549</v>
      </c>
      <c r="P88" s="5"/>
    </row>
    <row r="89" spans="1:16" ht="46" customHeight="1">
      <c r="A89" s="5" t="s">
        <v>550</v>
      </c>
      <c r="B89" s="5" t="s">
        <v>551</v>
      </c>
      <c r="C89" s="5" t="s">
        <v>27</v>
      </c>
      <c r="D89" s="5" t="s">
        <v>91</v>
      </c>
      <c r="E89" s="5" t="s">
        <v>29</v>
      </c>
      <c r="F89" s="6">
        <v>91</v>
      </c>
      <c r="G89" s="7"/>
      <c r="H89" s="5"/>
      <c r="I89" s="8"/>
      <c r="J89" s="8"/>
      <c r="K89" s="8" t="str">
        <f t="shared" si="4"/>
        <v/>
      </c>
      <c r="L89" s="8" t="s">
        <v>228</v>
      </c>
      <c r="M89" s="8" t="s">
        <v>275</v>
      </c>
      <c r="N89" s="8" t="str">
        <f t="shared" si="5"/>
        <v>N</v>
      </c>
      <c r="O89" s="5" t="s">
        <v>552</v>
      </c>
      <c r="P89" s="5"/>
    </row>
    <row r="90" spans="1:16" ht="46" customHeight="1">
      <c r="A90" s="5" t="s">
        <v>553</v>
      </c>
      <c r="B90" s="5" t="s">
        <v>252</v>
      </c>
      <c r="C90" s="5" t="s">
        <v>27</v>
      </c>
      <c r="D90" s="5" t="s">
        <v>554</v>
      </c>
      <c r="E90" s="5" t="s">
        <v>29</v>
      </c>
      <c r="F90" s="6"/>
      <c r="G90" s="7"/>
      <c r="H90" s="5"/>
      <c r="I90" s="8"/>
      <c r="J90" s="8"/>
      <c r="K90" s="8" t="str">
        <f t="shared" si="4"/>
        <v/>
      </c>
      <c r="L90" s="8" t="s">
        <v>228</v>
      </c>
      <c r="M90" s="8" t="s">
        <v>229</v>
      </c>
      <c r="N90" s="8" t="str">
        <f t="shared" si="5"/>
        <v>N</v>
      </c>
      <c r="O90" s="5" t="s">
        <v>555</v>
      </c>
      <c r="P90" s="5"/>
    </row>
    <row r="91" spans="1:16" ht="46" customHeight="1">
      <c r="A91" s="5" t="s">
        <v>556</v>
      </c>
      <c r="B91" s="5" t="s">
        <v>557</v>
      </c>
      <c r="C91" s="5" t="s">
        <v>66</v>
      </c>
      <c r="D91" s="5" t="s">
        <v>558</v>
      </c>
      <c r="E91" s="5" t="s">
        <v>74</v>
      </c>
      <c r="F91" s="6">
        <v>87</v>
      </c>
      <c r="G91" s="7">
        <v>5000000</v>
      </c>
      <c r="H91" s="5" t="s">
        <v>559</v>
      </c>
      <c r="I91" s="8" t="s">
        <v>31</v>
      </c>
      <c r="J91" s="8" t="s">
        <v>32</v>
      </c>
      <c r="K91" s="8" t="str">
        <f t="shared" si="4"/>
        <v>N</v>
      </c>
      <c r="L91" s="8" t="s">
        <v>33</v>
      </c>
      <c r="M91" s="8" t="s">
        <v>560</v>
      </c>
      <c r="N91" s="8" t="str">
        <f t="shared" si="5"/>
        <v>N</v>
      </c>
      <c r="O91" s="5" t="s">
        <v>561</v>
      </c>
      <c r="P91" s="5" t="s">
        <v>562</v>
      </c>
    </row>
    <row r="92" spans="1:16" ht="46" customHeight="1">
      <c r="A92" s="5" t="s">
        <v>563</v>
      </c>
      <c r="B92" s="5" t="s">
        <v>564</v>
      </c>
      <c r="C92" s="5" t="s">
        <v>27</v>
      </c>
      <c r="D92" s="5" t="s">
        <v>28</v>
      </c>
      <c r="E92" s="5" t="s">
        <v>29</v>
      </c>
      <c r="F92" s="6"/>
      <c r="G92" s="7"/>
      <c r="H92" s="5"/>
      <c r="I92" s="8"/>
      <c r="J92" s="8"/>
      <c r="K92" s="8" t="str">
        <f t="shared" si="4"/>
        <v/>
      </c>
      <c r="L92" s="8" t="s">
        <v>228</v>
      </c>
      <c r="M92" s="8" t="s">
        <v>565</v>
      </c>
      <c r="N92" s="8" t="str">
        <f t="shared" si="5"/>
        <v>N</v>
      </c>
      <c r="O92" s="5"/>
      <c r="P92" s="5"/>
    </row>
    <row r="93" spans="1:16" ht="46" customHeight="1">
      <c r="A93" s="5" t="s">
        <v>566</v>
      </c>
      <c r="B93" s="5" t="s">
        <v>567</v>
      </c>
      <c r="C93" s="5" t="s">
        <v>27</v>
      </c>
      <c r="D93" s="5" t="s">
        <v>568</v>
      </c>
      <c r="E93" s="5" t="s">
        <v>29</v>
      </c>
      <c r="F93" s="6">
        <v>85</v>
      </c>
      <c r="G93" s="7"/>
      <c r="H93" s="5"/>
      <c r="I93" s="8"/>
      <c r="J93" s="8"/>
      <c r="K93" s="8" t="str">
        <f t="shared" si="4"/>
        <v/>
      </c>
      <c r="L93" s="8" t="s">
        <v>228</v>
      </c>
      <c r="M93" s="8" t="s">
        <v>301</v>
      </c>
      <c r="N93" s="8" t="str">
        <f t="shared" si="5"/>
        <v>N</v>
      </c>
      <c r="O93" s="5" t="s">
        <v>569</v>
      </c>
      <c r="P93" s="5"/>
    </row>
    <row r="94" spans="1:16" ht="46" customHeight="1">
      <c r="A94" s="5" t="s">
        <v>570</v>
      </c>
      <c r="B94" s="5" t="s">
        <v>226</v>
      </c>
      <c r="C94" s="5" t="s">
        <v>27</v>
      </c>
      <c r="D94" s="5" t="s">
        <v>571</v>
      </c>
      <c r="E94" s="5" t="s">
        <v>29</v>
      </c>
      <c r="F94" s="6"/>
      <c r="G94" s="7"/>
      <c r="H94" s="5"/>
      <c r="I94" s="8"/>
      <c r="J94" s="8"/>
      <c r="K94" s="8" t="str">
        <f t="shared" si="4"/>
        <v/>
      </c>
      <c r="L94" s="8" t="s">
        <v>228</v>
      </c>
      <c r="M94" s="8" t="s">
        <v>229</v>
      </c>
      <c r="N94" s="8" t="str">
        <f t="shared" si="5"/>
        <v>N</v>
      </c>
      <c r="O94" s="5" t="s">
        <v>572</v>
      </c>
      <c r="P94" s="5"/>
    </row>
    <row r="95" spans="1:16" ht="46" customHeight="1">
      <c r="A95" s="5" t="s">
        <v>573</v>
      </c>
      <c r="B95" s="5" t="s">
        <v>574</v>
      </c>
      <c r="C95" s="5" t="s">
        <v>27</v>
      </c>
      <c r="D95" s="5" t="s">
        <v>575</v>
      </c>
      <c r="E95" s="5" t="s">
        <v>29</v>
      </c>
      <c r="F95" s="6"/>
      <c r="G95" s="7"/>
      <c r="H95" s="5"/>
      <c r="I95" s="8"/>
      <c r="J95" s="8"/>
      <c r="K95" s="8" t="str">
        <f t="shared" si="4"/>
        <v/>
      </c>
      <c r="L95" s="8" t="s">
        <v>228</v>
      </c>
      <c r="M95" s="8" t="s">
        <v>234</v>
      </c>
      <c r="N95" s="8" t="str">
        <f t="shared" si="5"/>
        <v>N</v>
      </c>
      <c r="O95" s="5" t="s">
        <v>576</v>
      </c>
      <c r="P95" s="5"/>
    </row>
    <row r="96" spans="1:16" ht="46" customHeight="1">
      <c r="A96" s="5" t="s">
        <v>577</v>
      </c>
      <c r="B96" s="5" t="s">
        <v>578</v>
      </c>
      <c r="C96" s="5" t="s">
        <v>27</v>
      </c>
      <c r="D96" s="5" t="s">
        <v>579</v>
      </c>
      <c r="E96" s="5" t="s">
        <v>580</v>
      </c>
      <c r="F96" s="6">
        <v>99</v>
      </c>
      <c r="G96" s="7"/>
      <c r="H96" s="5"/>
      <c r="I96" s="8"/>
      <c r="J96" s="8"/>
      <c r="K96" s="8" t="str">
        <f t="shared" si="4"/>
        <v/>
      </c>
      <c r="L96" s="8" t="s">
        <v>228</v>
      </c>
      <c r="M96" s="8" t="s">
        <v>249</v>
      </c>
      <c r="N96" s="8" t="str">
        <f t="shared" si="5"/>
        <v>N</v>
      </c>
      <c r="O96" s="5" t="s">
        <v>581</v>
      </c>
      <c r="P96" s="5"/>
    </row>
    <row r="97" spans="1:16" ht="46" customHeight="1">
      <c r="A97" s="5" t="s">
        <v>582</v>
      </c>
      <c r="B97" s="5" t="s">
        <v>583</v>
      </c>
      <c r="C97" s="5" t="s">
        <v>27</v>
      </c>
      <c r="D97" s="5" t="s">
        <v>227</v>
      </c>
      <c r="E97" s="5" t="s">
        <v>29</v>
      </c>
      <c r="F97" s="6"/>
      <c r="G97" s="7"/>
      <c r="H97" s="5"/>
      <c r="I97" s="8"/>
      <c r="J97" s="8"/>
      <c r="K97" s="8" t="str">
        <f t="shared" si="4"/>
        <v/>
      </c>
      <c r="L97" s="8" t="s">
        <v>228</v>
      </c>
      <c r="M97" s="8" t="s">
        <v>301</v>
      </c>
      <c r="N97" s="8" t="str">
        <f t="shared" si="5"/>
        <v>N</v>
      </c>
      <c r="O97" s="5" t="s">
        <v>584</v>
      </c>
      <c r="P97" s="5"/>
    </row>
    <row r="98" spans="1:16" ht="46" customHeight="1">
      <c r="A98" s="5" t="s">
        <v>585</v>
      </c>
      <c r="B98" s="5" t="s">
        <v>586</v>
      </c>
      <c r="C98" s="5" t="s">
        <v>27</v>
      </c>
      <c r="D98" s="5" t="s">
        <v>587</v>
      </c>
      <c r="E98" s="5" t="s">
        <v>29</v>
      </c>
      <c r="F98" s="6"/>
      <c r="G98" s="7"/>
      <c r="H98" s="5"/>
      <c r="I98" s="8"/>
      <c r="J98" s="8"/>
      <c r="K98" s="8" t="str">
        <f t="shared" si="4"/>
        <v/>
      </c>
      <c r="L98" s="8" t="s">
        <v>228</v>
      </c>
      <c r="M98" s="8" t="s">
        <v>588</v>
      </c>
      <c r="N98" s="8" t="str">
        <f t="shared" si="5"/>
        <v>N</v>
      </c>
      <c r="O98" s="5" t="s">
        <v>589</v>
      </c>
      <c r="P98" s="5"/>
    </row>
    <row r="99" spans="1:16" ht="46" customHeight="1">
      <c r="A99" s="5" t="s">
        <v>590</v>
      </c>
      <c r="B99" s="5" t="s">
        <v>591</v>
      </c>
      <c r="C99" s="5" t="s">
        <v>27</v>
      </c>
      <c r="D99" s="5" t="s">
        <v>592</v>
      </c>
      <c r="E99" s="5" t="s">
        <v>111</v>
      </c>
      <c r="F99" s="6"/>
      <c r="G99" s="7"/>
      <c r="H99" s="5"/>
      <c r="I99" s="8"/>
      <c r="J99" s="8"/>
      <c r="K99" s="8" t="str">
        <f t="shared" si="4"/>
        <v/>
      </c>
      <c r="L99" s="8" t="s">
        <v>228</v>
      </c>
      <c r="M99" s="8" t="s">
        <v>593</v>
      </c>
      <c r="N99" s="8" t="str">
        <f t="shared" si="5"/>
        <v>N</v>
      </c>
      <c r="O99" s="5" t="s">
        <v>594</v>
      </c>
      <c r="P99" s="5"/>
    </row>
    <row r="100" spans="1:16" ht="46" customHeight="1">
      <c r="A100" s="5" t="s">
        <v>595</v>
      </c>
      <c r="B100" s="5" t="s">
        <v>440</v>
      </c>
      <c r="C100" s="5" t="s">
        <v>27</v>
      </c>
      <c r="D100" s="5" t="s">
        <v>596</v>
      </c>
      <c r="E100" s="5" t="s">
        <v>29</v>
      </c>
      <c r="F100" s="6"/>
      <c r="G100" s="7"/>
      <c r="H100" s="5"/>
      <c r="I100" s="8"/>
      <c r="J100" s="8"/>
      <c r="K100" s="8" t="str">
        <f t="shared" si="4"/>
        <v/>
      </c>
      <c r="L100" s="8" t="s">
        <v>228</v>
      </c>
      <c r="M100" s="8" t="s">
        <v>229</v>
      </c>
      <c r="N100" s="8" t="str">
        <f t="shared" si="5"/>
        <v>N</v>
      </c>
      <c r="O100" s="5"/>
      <c r="P100" s="5"/>
    </row>
    <row r="101" spans="1:16" ht="46" customHeight="1">
      <c r="A101" s="5" t="s">
        <v>597</v>
      </c>
      <c r="B101" s="5" t="s">
        <v>252</v>
      </c>
      <c r="C101" s="5" t="s">
        <v>27</v>
      </c>
      <c r="D101" s="5" t="s">
        <v>598</v>
      </c>
      <c r="E101" s="5" t="s">
        <v>29</v>
      </c>
      <c r="F101" s="6">
        <v>98</v>
      </c>
      <c r="G101" s="7"/>
      <c r="H101" s="5"/>
      <c r="I101" s="8"/>
      <c r="J101" s="8"/>
      <c r="K101" s="8" t="str">
        <f t="shared" si="4"/>
        <v/>
      </c>
      <c r="L101" s="8" t="s">
        <v>228</v>
      </c>
      <c r="M101" s="8" t="s">
        <v>229</v>
      </c>
      <c r="N101" s="8" t="str">
        <f t="shared" si="5"/>
        <v>N</v>
      </c>
      <c r="O101" s="5" t="s">
        <v>599</v>
      </c>
      <c r="P101" s="5"/>
    </row>
    <row r="102" spans="1:16" ht="46" customHeight="1">
      <c r="A102" s="5" t="s">
        <v>600</v>
      </c>
      <c r="B102" s="5" t="s">
        <v>226</v>
      </c>
      <c r="C102" s="5" t="s">
        <v>27</v>
      </c>
      <c r="D102" s="5" t="s">
        <v>601</v>
      </c>
      <c r="E102" s="5" t="s">
        <v>111</v>
      </c>
      <c r="F102" s="6">
        <v>64</v>
      </c>
      <c r="G102" s="7"/>
      <c r="H102" s="5"/>
      <c r="I102" s="8"/>
      <c r="J102" s="8"/>
      <c r="K102" s="8" t="str">
        <f t="shared" ref="K102:K133" si="6">IF(G102="","",IF(G102&gt;=$E$4,"Y","N"))</f>
        <v/>
      </c>
      <c r="L102" s="8" t="s">
        <v>228</v>
      </c>
      <c r="M102" s="8" t="s">
        <v>229</v>
      </c>
      <c r="N102" s="8" t="str">
        <f t="shared" ref="N102:N133" si="7">IF(AND(K102="Y",L102="Y",M102=""),"Y","N")</f>
        <v>N</v>
      </c>
      <c r="O102" s="5" t="s">
        <v>602</v>
      </c>
      <c r="P102" s="5"/>
    </row>
    <row r="103" spans="1:16" ht="46" customHeight="1">
      <c r="A103" s="5" t="s">
        <v>603</v>
      </c>
      <c r="B103" s="5" t="s">
        <v>252</v>
      </c>
      <c r="C103" s="5" t="s">
        <v>27</v>
      </c>
      <c r="D103" s="5" t="s">
        <v>46</v>
      </c>
      <c r="E103" s="5" t="s">
        <v>29</v>
      </c>
      <c r="F103" s="6"/>
      <c r="G103" s="7"/>
      <c r="H103" s="5"/>
      <c r="I103" s="8"/>
      <c r="J103" s="8"/>
      <c r="K103" s="8" t="str">
        <f t="shared" si="6"/>
        <v/>
      </c>
      <c r="L103" s="8" t="s">
        <v>228</v>
      </c>
      <c r="M103" s="8" t="s">
        <v>229</v>
      </c>
      <c r="N103" s="8" t="str">
        <f t="shared" si="7"/>
        <v>N</v>
      </c>
      <c r="O103" s="5" t="s">
        <v>604</v>
      </c>
      <c r="P103" s="5"/>
    </row>
    <row r="104" spans="1:16" ht="46" customHeight="1">
      <c r="A104" s="5" t="s">
        <v>605</v>
      </c>
      <c r="B104" s="5" t="s">
        <v>606</v>
      </c>
      <c r="C104" s="5" t="s">
        <v>27</v>
      </c>
      <c r="D104" s="5" t="s">
        <v>607</v>
      </c>
      <c r="E104" s="5" t="s">
        <v>29</v>
      </c>
      <c r="F104" s="6">
        <v>91</v>
      </c>
      <c r="G104" s="7"/>
      <c r="H104" s="5"/>
      <c r="I104" s="8"/>
      <c r="J104" s="8"/>
      <c r="K104" s="8" t="str">
        <f t="shared" si="6"/>
        <v/>
      </c>
      <c r="L104" s="8" t="s">
        <v>228</v>
      </c>
      <c r="M104" s="8" t="s">
        <v>608</v>
      </c>
      <c r="N104" s="8" t="str">
        <f t="shared" si="7"/>
        <v>N</v>
      </c>
      <c r="O104" s="5" t="s">
        <v>609</v>
      </c>
      <c r="P104" s="5"/>
    </row>
    <row r="105" spans="1:16" ht="46" customHeight="1">
      <c r="A105" s="5" t="s">
        <v>610</v>
      </c>
      <c r="B105" s="5" t="s">
        <v>611</v>
      </c>
      <c r="C105" s="5" t="s">
        <v>27</v>
      </c>
      <c r="D105" s="5" t="s">
        <v>46</v>
      </c>
      <c r="E105" s="5" t="s">
        <v>29</v>
      </c>
      <c r="F105" s="6"/>
      <c r="G105" s="7"/>
      <c r="H105" s="5"/>
      <c r="I105" s="8"/>
      <c r="J105" s="8"/>
      <c r="K105" s="8" t="str">
        <f t="shared" si="6"/>
        <v/>
      </c>
      <c r="L105" s="8" t="s">
        <v>228</v>
      </c>
      <c r="M105" s="8" t="s">
        <v>612</v>
      </c>
      <c r="N105" s="8" t="str">
        <f t="shared" si="7"/>
        <v>N</v>
      </c>
      <c r="O105" s="5" t="s">
        <v>613</v>
      </c>
      <c r="P105" s="5"/>
    </row>
    <row r="106" spans="1:16" ht="46" customHeight="1">
      <c r="A106" s="5" t="s">
        <v>614</v>
      </c>
      <c r="B106" s="5" t="s">
        <v>615</v>
      </c>
      <c r="C106" s="5" t="s">
        <v>27</v>
      </c>
      <c r="D106" s="5" t="s">
        <v>91</v>
      </c>
      <c r="E106" s="5" t="s">
        <v>29</v>
      </c>
      <c r="F106" s="6"/>
      <c r="G106" s="7"/>
      <c r="H106" s="5"/>
      <c r="I106" s="8"/>
      <c r="J106" s="8"/>
      <c r="K106" s="8" t="str">
        <f t="shared" si="6"/>
        <v/>
      </c>
      <c r="L106" s="8" t="s">
        <v>228</v>
      </c>
      <c r="M106" s="8" t="s">
        <v>301</v>
      </c>
      <c r="N106" s="8" t="str">
        <f t="shared" si="7"/>
        <v>N</v>
      </c>
      <c r="O106" s="5" t="s">
        <v>616</v>
      </c>
      <c r="P106" s="5"/>
    </row>
    <row r="107" spans="1:16" ht="46" customHeight="1">
      <c r="A107" s="5" t="s">
        <v>617</v>
      </c>
      <c r="B107" s="5" t="s">
        <v>618</v>
      </c>
      <c r="C107" s="5" t="s">
        <v>27</v>
      </c>
      <c r="D107" s="5" t="s">
        <v>91</v>
      </c>
      <c r="E107" s="5" t="s">
        <v>29</v>
      </c>
      <c r="F107" s="6"/>
      <c r="G107" s="7"/>
      <c r="H107" s="5"/>
      <c r="I107" s="8"/>
      <c r="J107" s="8"/>
      <c r="K107" s="8" t="str">
        <f t="shared" si="6"/>
        <v/>
      </c>
      <c r="L107" s="8" t="s">
        <v>228</v>
      </c>
      <c r="M107" s="8" t="s">
        <v>429</v>
      </c>
      <c r="N107" s="8" t="str">
        <f t="shared" si="7"/>
        <v>N</v>
      </c>
      <c r="O107" s="5" t="s">
        <v>619</v>
      </c>
      <c r="P107" s="5"/>
    </row>
    <row r="108" spans="1:16" ht="46" customHeight="1">
      <c r="A108" s="5" t="s">
        <v>620</v>
      </c>
      <c r="B108" s="5" t="s">
        <v>621</v>
      </c>
      <c r="C108" s="5" t="s">
        <v>66</v>
      </c>
      <c r="D108" s="5" t="s">
        <v>622</v>
      </c>
      <c r="E108" s="5" t="s">
        <v>29</v>
      </c>
      <c r="F108" s="6">
        <v>93</v>
      </c>
      <c r="G108" s="7">
        <v>13426602</v>
      </c>
      <c r="H108" s="5" t="s">
        <v>47</v>
      </c>
      <c r="I108" s="8">
        <v>2025</v>
      </c>
      <c r="J108" s="8" t="s">
        <v>48</v>
      </c>
      <c r="K108" s="8" t="str">
        <f t="shared" si="6"/>
        <v>N</v>
      </c>
      <c r="L108" s="8" t="s">
        <v>33</v>
      </c>
      <c r="M108" s="8" t="s">
        <v>623</v>
      </c>
      <c r="N108" s="8" t="str">
        <f t="shared" si="7"/>
        <v>N</v>
      </c>
      <c r="O108" s="5" t="s">
        <v>624</v>
      </c>
      <c r="P108" s="5" t="s">
        <v>625</v>
      </c>
    </row>
    <row r="109" spans="1:16" ht="46" customHeight="1">
      <c r="A109" s="5" t="s">
        <v>626</v>
      </c>
      <c r="B109" s="5" t="s">
        <v>443</v>
      </c>
      <c r="C109" s="5" t="s">
        <v>38</v>
      </c>
      <c r="D109" s="5" t="s">
        <v>627</v>
      </c>
      <c r="E109" s="5" t="s">
        <v>29</v>
      </c>
      <c r="F109" s="6"/>
      <c r="G109" s="7">
        <v>12691257</v>
      </c>
      <c r="H109" s="5" t="s">
        <v>47</v>
      </c>
      <c r="I109" s="8">
        <v>2025</v>
      </c>
      <c r="J109" s="8" t="s">
        <v>48</v>
      </c>
      <c r="K109" s="8" t="str">
        <f t="shared" si="6"/>
        <v>N</v>
      </c>
      <c r="L109" s="8" t="s">
        <v>33</v>
      </c>
      <c r="M109" s="8" t="s">
        <v>628</v>
      </c>
      <c r="N109" s="8" t="str">
        <f t="shared" si="7"/>
        <v>N</v>
      </c>
      <c r="O109" s="5" t="s">
        <v>629</v>
      </c>
      <c r="P109" s="5" t="s">
        <v>630</v>
      </c>
    </row>
    <row r="110" spans="1:16" ht="46" customHeight="1">
      <c r="A110" s="5" t="s">
        <v>631</v>
      </c>
      <c r="B110" s="5" t="s">
        <v>632</v>
      </c>
      <c r="C110" s="5" t="s">
        <v>27</v>
      </c>
      <c r="D110" s="5" t="s">
        <v>633</v>
      </c>
      <c r="E110" s="5" t="s">
        <v>29</v>
      </c>
      <c r="F110" s="6"/>
      <c r="G110" s="7"/>
      <c r="H110" s="5"/>
      <c r="I110" s="8"/>
      <c r="J110" s="8"/>
      <c r="K110" s="8" t="str">
        <f t="shared" si="6"/>
        <v/>
      </c>
      <c r="L110" s="8" t="s">
        <v>228</v>
      </c>
      <c r="M110" s="8" t="s">
        <v>634</v>
      </c>
      <c r="N110" s="8" t="str">
        <f t="shared" si="7"/>
        <v>N</v>
      </c>
      <c r="O110" s="5" t="s">
        <v>635</v>
      </c>
      <c r="P110" s="5"/>
    </row>
    <row r="111" spans="1:16" ht="46" customHeight="1">
      <c r="A111" s="5" t="s">
        <v>636</v>
      </c>
      <c r="B111" s="5" t="s">
        <v>637</v>
      </c>
      <c r="C111" s="5" t="s">
        <v>27</v>
      </c>
      <c r="D111" s="5" t="s">
        <v>330</v>
      </c>
      <c r="E111" s="5" t="s">
        <v>29</v>
      </c>
      <c r="F111" s="6">
        <v>82</v>
      </c>
      <c r="G111" s="7"/>
      <c r="H111" s="5"/>
      <c r="I111" s="8"/>
      <c r="J111" s="8"/>
      <c r="K111" s="8" t="str">
        <f t="shared" si="6"/>
        <v/>
      </c>
      <c r="L111" s="8" t="s">
        <v>228</v>
      </c>
      <c r="M111" s="8" t="s">
        <v>249</v>
      </c>
      <c r="N111" s="8" t="str">
        <f t="shared" si="7"/>
        <v>N</v>
      </c>
      <c r="O111" s="5" t="s">
        <v>638</v>
      </c>
      <c r="P111" s="5"/>
    </row>
    <row r="112" spans="1:16" ht="46" customHeight="1">
      <c r="A112" s="5" t="s">
        <v>639</v>
      </c>
      <c r="B112" s="5" t="s">
        <v>437</v>
      </c>
      <c r="C112" s="5" t="s">
        <v>27</v>
      </c>
      <c r="D112" s="5" t="s">
        <v>640</v>
      </c>
      <c r="E112" s="5" t="s">
        <v>641</v>
      </c>
      <c r="F112" s="6">
        <v>60</v>
      </c>
      <c r="G112" s="7"/>
      <c r="H112" s="5"/>
      <c r="I112" s="8"/>
      <c r="J112" s="8"/>
      <c r="K112" s="8" t="str">
        <f t="shared" si="6"/>
        <v/>
      </c>
      <c r="L112" s="8" t="s">
        <v>228</v>
      </c>
      <c r="M112" s="8" t="s">
        <v>418</v>
      </c>
      <c r="N112" s="8" t="str">
        <f t="shared" si="7"/>
        <v>N</v>
      </c>
      <c r="O112" s="5" t="s">
        <v>642</v>
      </c>
      <c r="P112" s="5"/>
    </row>
    <row r="113" spans="1:16" ht="46" customHeight="1">
      <c r="A113" s="5" t="s">
        <v>643</v>
      </c>
      <c r="B113" s="5" t="s">
        <v>644</v>
      </c>
      <c r="C113" s="5" t="s">
        <v>27</v>
      </c>
      <c r="D113" s="5" t="s">
        <v>645</v>
      </c>
      <c r="E113" s="5" t="s">
        <v>29</v>
      </c>
      <c r="F113" s="6"/>
      <c r="G113" s="7"/>
      <c r="H113" s="5"/>
      <c r="I113" s="8"/>
      <c r="J113" s="8"/>
      <c r="K113" s="8" t="str">
        <f t="shared" si="6"/>
        <v/>
      </c>
      <c r="L113" s="8" t="s">
        <v>228</v>
      </c>
      <c r="M113" s="8" t="s">
        <v>418</v>
      </c>
      <c r="N113" s="8" t="str">
        <f t="shared" si="7"/>
        <v>N</v>
      </c>
      <c r="O113" s="5" t="s">
        <v>646</v>
      </c>
      <c r="P113" s="5"/>
    </row>
    <row r="114" spans="1:16" ht="46" customHeight="1">
      <c r="A114" s="5" t="s">
        <v>647</v>
      </c>
      <c r="B114" s="5" t="s">
        <v>648</v>
      </c>
      <c r="C114" s="5" t="s">
        <v>27</v>
      </c>
      <c r="D114" s="5" t="s">
        <v>649</v>
      </c>
      <c r="E114" s="5" t="s">
        <v>29</v>
      </c>
      <c r="F114" s="6"/>
      <c r="G114" s="7"/>
      <c r="H114" s="5"/>
      <c r="I114" s="8"/>
      <c r="J114" s="8"/>
      <c r="K114" s="8" t="str">
        <f t="shared" si="6"/>
        <v/>
      </c>
      <c r="L114" s="8" t="s">
        <v>228</v>
      </c>
      <c r="M114" s="8" t="s">
        <v>650</v>
      </c>
      <c r="N114" s="8" t="str">
        <f t="shared" si="7"/>
        <v>N</v>
      </c>
      <c r="O114" s="5" t="s">
        <v>651</v>
      </c>
      <c r="P114" s="5"/>
    </row>
    <row r="115" spans="1:16" ht="46" customHeight="1">
      <c r="A115" s="5" t="s">
        <v>652</v>
      </c>
      <c r="B115" s="5" t="s">
        <v>653</v>
      </c>
      <c r="C115" s="5" t="s">
        <v>27</v>
      </c>
      <c r="D115" s="5" t="s">
        <v>91</v>
      </c>
      <c r="E115" s="5" t="s">
        <v>29</v>
      </c>
      <c r="F115" s="6"/>
      <c r="G115" s="7"/>
      <c r="H115" s="5"/>
      <c r="I115" s="8"/>
      <c r="J115" s="8"/>
      <c r="K115" s="8" t="str">
        <f t="shared" si="6"/>
        <v/>
      </c>
      <c r="L115" s="8" t="s">
        <v>228</v>
      </c>
      <c r="M115" s="8" t="s">
        <v>654</v>
      </c>
      <c r="N115" s="8" t="str">
        <f t="shared" si="7"/>
        <v>N</v>
      </c>
      <c r="O115" s="5" t="s">
        <v>655</v>
      </c>
      <c r="P115" s="5"/>
    </row>
    <row r="116" spans="1:16" ht="46" customHeight="1">
      <c r="A116" s="5" t="s">
        <v>656</v>
      </c>
      <c r="B116" s="5" t="s">
        <v>252</v>
      </c>
      <c r="C116" s="5" t="s">
        <v>27</v>
      </c>
      <c r="D116" s="5" t="s">
        <v>657</v>
      </c>
      <c r="E116" s="5" t="s">
        <v>111</v>
      </c>
      <c r="F116" s="6">
        <v>68</v>
      </c>
      <c r="G116" s="7"/>
      <c r="H116" s="5"/>
      <c r="I116" s="8"/>
      <c r="J116" s="8"/>
      <c r="K116" s="8" t="str">
        <f t="shared" si="6"/>
        <v/>
      </c>
      <c r="L116" s="8" t="s">
        <v>228</v>
      </c>
      <c r="M116" s="8" t="s">
        <v>229</v>
      </c>
      <c r="N116" s="8" t="str">
        <f t="shared" si="7"/>
        <v>N</v>
      </c>
      <c r="O116" s="5" t="s">
        <v>658</v>
      </c>
      <c r="P116" s="5"/>
    </row>
    <row r="117" spans="1:16" ht="46" customHeight="1">
      <c r="A117" s="5" t="s">
        <v>659</v>
      </c>
      <c r="B117" s="5" t="s">
        <v>263</v>
      </c>
      <c r="C117" s="5" t="s">
        <v>263</v>
      </c>
      <c r="D117" s="5" t="s">
        <v>660</v>
      </c>
      <c r="E117" s="5" t="s">
        <v>29</v>
      </c>
      <c r="F117" s="6"/>
      <c r="G117" s="7"/>
      <c r="H117" s="5"/>
      <c r="I117" s="8"/>
      <c r="J117" s="8"/>
      <c r="K117" s="8" t="str">
        <f t="shared" si="6"/>
        <v/>
      </c>
      <c r="L117" s="8" t="s">
        <v>228</v>
      </c>
      <c r="M117" s="8" t="s">
        <v>409</v>
      </c>
      <c r="N117" s="8" t="str">
        <f t="shared" si="7"/>
        <v>N</v>
      </c>
      <c r="O117" s="5"/>
      <c r="P117" s="5"/>
    </row>
    <row r="118" spans="1:16" ht="46" customHeight="1">
      <c r="A118" s="5" t="s">
        <v>661</v>
      </c>
      <c r="B118" s="5" t="s">
        <v>662</v>
      </c>
      <c r="C118" s="5" t="s">
        <v>27</v>
      </c>
      <c r="D118" s="5" t="s">
        <v>601</v>
      </c>
      <c r="E118" s="5" t="s">
        <v>111</v>
      </c>
      <c r="F118" s="6">
        <v>64</v>
      </c>
      <c r="G118" s="7"/>
      <c r="H118" s="5"/>
      <c r="I118" s="8"/>
      <c r="J118" s="8"/>
      <c r="K118" s="8" t="str">
        <f t="shared" si="6"/>
        <v/>
      </c>
      <c r="L118" s="8" t="s">
        <v>228</v>
      </c>
      <c r="M118" s="8" t="s">
        <v>229</v>
      </c>
      <c r="N118" s="8" t="str">
        <f t="shared" si="7"/>
        <v>N</v>
      </c>
      <c r="O118" s="5"/>
      <c r="P118" s="5"/>
    </row>
    <row r="119" spans="1:16" ht="46" customHeight="1">
      <c r="A119" s="5" t="s">
        <v>663</v>
      </c>
      <c r="B119" s="5" t="s">
        <v>247</v>
      </c>
      <c r="C119" s="5" t="s">
        <v>27</v>
      </c>
      <c r="D119" s="5" t="s">
        <v>664</v>
      </c>
      <c r="E119" s="5" t="s">
        <v>29</v>
      </c>
      <c r="F119" s="6"/>
      <c r="G119" s="7"/>
      <c r="H119" s="5"/>
      <c r="I119" s="8"/>
      <c r="J119" s="8"/>
      <c r="K119" s="8" t="str">
        <f t="shared" si="6"/>
        <v/>
      </c>
      <c r="L119" s="8" t="s">
        <v>228</v>
      </c>
      <c r="M119" s="8" t="s">
        <v>249</v>
      </c>
      <c r="N119" s="8" t="str">
        <f t="shared" si="7"/>
        <v>N</v>
      </c>
      <c r="O119" s="5" t="s">
        <v>665</v>
      </c>
      <c r="P119" s="5"/>
    </row>
    <row r="120" spans="1:16" ht="46" customHeight="1">
      <c r="A120" s="5" t="s">
        <v>666</v>
      </c>
      <c r="B120" s="5" t="s">
        <v>59</v>
      </c>
      <c r="C120" s="5" t="s">
        <v>38</v>
      </c>
      <c r="D120" s="5" t="s">
        <v>667</v>
      </c>
      <c r="E120" s="5" t="s">
        <v>29</v>
      </c>
      <c r="F120" s="6"/>
      <c r="G120" s="7">
        <v>7500000</v>
      </c>
      <c r="H120" s="5" t="s">
        <v>178</v>
      </c>
      <c r="I120" s="8" t="s">
        <v>31</v>
      </c>
      <c r="J120" s="8" t="s">
        <v>55</v>
      </c>
      <c r="K120" s="8" t="str">
        <f t="shared" si="6"/>
        <v>N</v>
      </c>
      <c r="L120" s="8" t="s">
        <v>33</v>
      </c>
      <c r="M120" s="8" t="s">
        <v>394</v>
      </c>
      <c r="N120" s="8" t="str">
        <f t="shared" si="7"/>
        <v>N</v>
      </c>
      <c r="O120" s="5" t="s">
        <v>668</v>
      </c>
      <c r="P120" s="5" t="s">
        <v>669</v>
      </c>
    </row>
    <row r="121" spans="1:16" ht="46" customHeight="1">
      <c r="A121" s="5" t="s">
        <v>670</v>
      </c>
      <c r="B121" s="5" t="s">
        <v>252</v>
      </c>
      <c r="C121" s="5" t="s">
        <v>27</v>
      </c>
      <c r="D121" s="5" t="s">
        <v>671</v>
      </c>
      <c r="E121" s="5" t="s">
        <v>29</v>
      </c>
      <c r="F121" s="6"/>
      <c r="G121" s="7"/>
      <c r="H121" s="5"/>
      <c r="I121" s="8"/>
      <c r="J121" s="8"/>
      <c r="K121" s="8" t="str">
        <f t="shared" si="6"/>
        <v/>
      </c>
      <c r="L121" s="8" t="s">
        <v>228</v>
      </c>
      <c r="M121" s="8" t="s">
        <v>229</v>
      </c>
      <c r="N121" s="8" t="str">
        <f t="shared" si="7"/>
        <v>N</v>
      </c>
      <c r="O121" s="5" t="s">
        <v>672</v>
      </c>
      <c r="P121" s="5"/>
    </row>
    <row r="122" spans="1:16" ht="46" customHeight="1">
      <c r="A122" s="5" t="s">
        <v>673</v>
      </c>
      <c r="B122" s="5" t="s">
        <v>218</v>
      </c>
      <c r="C122" s="5" t="s">
        <v>27</v>
      </c>
      <c r="D122" s="5" t="s">
        <v>350</v>
      </c>
      <c r="E122" s="5" t="s">
        <v>29</v>
      </c>
      <c r="F122" s="6"/>
      <c r="G122" s="7">
        <v>7443414</v>
      </c>
      <c r="H122" s="5" t="s">
        <v>674</v>
      </c>
      <c r="I122" s="8">
        <v>2017</v>
      </c>
      <c r="J122" s="8" t="s">
        <v>55</v>
      </c>
      <c r="K122" s="8" t="str">
        <f t="shared" si="6"/>
        <v>N</v>
      </c>
      <c r="L122" s="8" t="s">
        <v>33</v>
      </c>
      <c r="M122" s="8" t="s">
        <v>675</v>
      </c>
      <c r="N122" s="8" t="str">
        <f t="shared" si="7"/>
        <v>N</v>
      </c>
      <c r="O122" s="5" t="s">
        <v>676</v>
      </c>
      <c r="P122" s="5" t="s">
        <v>677</v>
      </c>
    </row>
    <row r="123" spans="1:16" ht="46" customHeight="1">
      <c r="A123" s="5" t="s">
        <v>678</v>
      </c>
      <c r="B123" s="5" t="s">
        <v>263</v>
      </c>
      <c r="C123" s="5" t="s">
        <v>263</v>
      </c>
      <c r="D123" s="5" t="s">
        <v>679</v>
      </c>
      <c r="E123" s="5" t="s">
        <v>29</v>
      </c>
      <c r="F123" s="6"/>
      <c r="G123" s="7"/>
      <c r="H123" s="5"/>
      <c r="I123" s="8"/>
      <c r="J123" s="8"/>
      <c r="K123" s="8" t="str">
        <f t="shared" si="6"/>
        <v/>
      </c>
      <c r="L123" s="8" t="s">
        <v>228</v>
      </c>
      <c r="M123" s="8" t="s">
        <v>409</v>
      </c>
      <c r="N123" s="8" t="str">
        <f t="shared" si="7"/>
        <v>N</v>
      </c>
      <c r="O123" s="5"/>
      <c r="P123" s="5"/>
    </row>
    <row r="124" spans="1:16" ht="46" customHeight="1">
      <c r="A124" s="5" t="s">
        <v>680</v>
      </c>
      <c r="B124" s="5" t="s">
        <v>252</v>
      </c>
      <c r="C124" s="5" t="s">
        <v>27</v>
      </c>
      <c r="D124" s="5" t="s">
        <v>681</v>
      </c>
      <c r="E124" s="5" t="s">
        <v>29</v>
      </c>
      <c r="F124" s="6"/>
      <c r="G124" s="7"/>
      <c r="H124" s="5"/>
      <c r="I124" s="8"/>
      <c r="J124" s="8"/>
      <c r="K124" s="8" t="str">
        <f t="shared" si="6"/>
        <v/>
      </c>
      <c r="L124" s="8" t="s">
        <v>228</v>
      </c>
      <c r="M124" s="8" t="s">
        <v>229</v>
      </c>
      <c r="N124" s="8" t="str">
        <f t="shared" si="7"/>
        <v>N</v>
      </c>
      <c r="O124" s="5"/>
      <c r="P124" s="5"/>
    </row>
    <row r="125" spans="1:16" ht="46" customHeight="1">
      <c r="A125" s="5" t="s">
        <v>682</v>
      </c>
      <c r="B125" s="5" t="s">
        <v>252</v>
      </c>
      <c r="C125" s="5" t="s">
        <v>27</v>
      </c>
      <c r="D125" s="5" t="s">
        <v>253</v>
      </c>
      <c r="E125" s="5" t="s">
        <v>29</v>
      </c>
      <c r="F125" s="6">
        <v>99</v>
      </c>
      <c r="G125" s="7"/>
      <c r="H125" s="5"/>
      <c r="I125" s="8"/>
      <c r="J125" s="8"/>
      <c r="K125" s="8" t="str">
        <f t="shared" si="6"/>
        <v/>
      </c>
      <c r="L125" s="8" t="s">
        <v>228</v>
      </c>
      <c r="M125" s="8" t="s">
        <v>229</v>
      </c>
      <c r="N125" s="8" t="str">
        <f t="shared" si="7"/>
        <v>N</v>
      </c>
      <c r="O125" s="5" t="s">
        <v>683</v>
      </c>
      <c r="P125" s="5"/>
    </row>
    <row r="126" spans="1:16" ht="46" customHeight="1">
      <c r="A126" s="5" t="s">
        <v>684</v>
      </c>
      <c r="B126" s="5" t="s">
        <v>685</v>
      </c>
      <c r="C126" s="5" t="s">
        <v>27</v>
      </c>
      <c r="D126" s="5" t="s">
        <v>686</v>
      </c>
      <c r="E126" s="5" t="s">
        <v>29</v>
      </c>
      <c r="F126" s="6"/>
      <c r="G126" s="7"/>
      <c r="H126" s="5"/>
      <c r="I126" s="8"/>
      <c r="J126" s="8"/>
      <c r="K126" s="8" t="str">
        <f t="shared" si="6"/>
        <v/>
      </c>
      <c r="L126" s="8" t="s">
        <v>228</v>
      </c>
      <c r="M126" s="8" t="s">
        <v>292</v>
      </c>
      <c r="N126" s="8" t="str">
        <f t="shared" si="7"/>
        <v>N</v>
      </c>
      <c r="O126" s="5" t="s">
        <v>687</v>
      </c>
      <c r="P126" s="5"/>
    </row>
    <row r="127" spans="1:16" ht="46" customHeight="1">
      <c r="A127" s="5" t="s">
        <v>688</v>
      </c>
      <c r="B127" s="5" t="s">
        <v>689</v>
      </c>
      <c r="C127" s="5" t="s">
        <v>27</v>
      </c>
      <c r="D127" s="5" t="s">
        <v>690</v>
      </c>
      <c r="E127" s="5" t="s">
        <v>29</v>
      </c>
      <c r="F127" s="6">
        <v>82</v>
      </c>
      <c r="G127" s="7"/>
      <c r="H127" s="5"/>
      <c r="I127" s="8"/>
      <c r="J127" s="8"/>
      <c r="K127" s="8" t="str">
        <f t="shared" si="6"/>
        <v/>
      </c>
      <c r="L127" s="8" t="s">
        <v>228</v>
      </c>
      <c r="M127" s="8" t="s">
        <v>292</v>
      </c>
      <c r="N127" s="8" t="str">
        <f t="shared" si="7"/>
        <v>N</v>
      </c>
      <c r="O127" s="5" t="s">
        <v>691</v>
      </c>
      <c r="P127" s="5"/>
    </row>
    <row r="128" spans="1:16" ht="46" customHeight="1">
      <c r="A128" s="5" t="s">
        <v>692</v>
      </c>
      <c r="B128" s="5" t="s">
        <v>693</v>
      </c>
      <c r="C128" s="5" t="s">
        <v>27</v>
      </c>
      <c r="D128" s="5" t="s">
        <v>46</v>
      </c>
      <c r="E128" s="5" t="s">
        <v>29</v>
      </c>
      <c r="F128" s="6">
        <v>100</v>
      </c>
      <c r="G128" s="7"/>
      <c r="H128" s="5"/>
      <c r="I128" s="8"/>
      <c r="J128" s="8"/>
      <c r="K128" s="8" t="str">
        <f t="shared" si="6"/>
        <v/>
      </c>
      <c r="L128" s="8" t="s">
        <v>228</v>
      </c>
      <c r="M128" s="8" t="s">
        <v>229</v>
      </c>
      <c r="N128" s="8" t="str">
        <f t="shared" si="7"/>
        <v>N</v>
      </c>
      <c r="O128" s="5" t="s">
        <v>694</v>
      </c>
      <c r="P128" s="5"/>
    </row>
    <row r="129" spans="1:16" ht="46" customHeight="1">
      <c r="A129" s="5" t="s">
        <v>695</v>
      </c>
      <c r="B129" s="5" t="s">
        <v>696</v>
      </c>
      <c r="C129" s="5" t="s">
        <v>27</v>
      </c>
      <c r="D129" s="5" t="s">
        <v>697</v>
      </c>
      <c r="E129" s="5" t="s">
        <v>29</v>
      </c>
      <c r="F129" s="6"/>
      <c r="G129" s="7"/>
      <c r="H129" s="5"/>
      <c r="I129" s="8"/>
      <c r="J129" s="8"/>
      <c r="K129" s="8" t="str">
        <f t="shared" si="6"/>
        <v/>
      </c>
      <c r="L129" s="8" t="s">
        <v>228</v>
      </c>
      <c r="M129" s="8" t="s">
        <v>234</v>
      </c>
      <c r="N129" s="8" t="str">
        <f t="shared" si="7"/>
        <v>N</v>
      </c>
      <c r="O129" s="5" t="s">
        <v>698</v>
      </c>
      <c r="P129" s="5"/>
    </row>
    <row r="130" spans="1:16" ht="46" customHeight="1">
      <c r="A130" s="5" t="s">
        <v>699</v>
      </c>
      <c r="B130" s="5" t="s">
        <v>700</v>
      </c>
      <c r="C130" s="5" t="s">
        <v>66</v>
      </c>
      <c r="D130" s="5" t="s">
        <v>627</v>
      </c>
      <c r="E130" s="5" t="s">
        <v>29</v>
      </c>
      <c r="F130" s="6"/>
      <c r="G130" s="7">
        <v>8800000</v>
      </c>
      <c r="H130" s="5" t="s">
        <v>190</v>
      </c>
      <c r="I130" s="8">
        <v>2024</v>
      </c>
      <c r="J130" s="8" t="s">
        <v>48</v>
      </c>
      <c r="K130" s="8" t="str">
        <f t="shared" si="6"/>
        <v>N</v>
      </c>
      <c r="L130" s="8" t="s">
        <v>33</v>
      </c>
      <c r="M130" s="8" t="s">
        <v>701</v>
      </c>
      <c r="N130" s="8" t="str">
        <f t="shared" si="7"/>
        <v>N</v>
      </c>
      <c r="O130" s="5" t="s">
        <v>702</v>
      </c>
      <c r="P130" s="5" t="s">
        <v>703</v>
      </c>
    </row>
    <row r="131" spans="1:16" ht="46" customHeight="1">
      <c r="A131" s="5" t="s">
        <v>704</v>
      </c>
      <c r="B131" s="5" t="s">
        <v>252</v>
      </c>
      <c r="C131" s="5" t="s">
        <v>27</v>
      </c>
      <c r="D131" s="5" t="s">
        <v>705</v>
      </c>
      <c r="E131" s="5" t="s">
        <v>706</v>
      </c>
      <c r="F131" s="6">
        <v>83</v>
      </c>
      <c r="G131" s="7"/>
      <c r="H131" s="5"/>
      <c r="I131" s="8"/>
      <c r="J131" s="8"/>
      <c r="K131" s="8" t="str">
        <f t="shared" si="6"/>
        <v/>
      </c>
      <c r="L131" s="8" t="s">
        <v>228</v>
      </c>
      <c r="M131" s="8" t="s">
        <v>229</v>
      </c>
      <c r="N131" s="8" t="str">
        <f t="shared" si="7"/>
        <v>N</v>
      </c>
      <c r="O131" s="5" t="s">
        <v>707</v>
      </c>
      <c r="P131" s="5"/>
    </row>
    <row r="132" spans="1:16" ht="46" customHeight="1">
      <c r="A132" s="5" t="s">
        <v>708</v>
      </c>
      <c r="B132" s="5" t="s">
        <v>574</v>
      </c>
      <c r="C132" s="5" t="s">
        <v>27</v>
      </c>
      <c r="D132" s="5" t="s">
        <v>709</v>
      </c>
      <c r="E132" s="5" t="s">
        <v>29</v>
      </c>
      <c r="F132" s="6"/>
      <c r="G132" s="7"/>
      <c r="H132" s="5"/>
      <c r="I132" s="8"/>
      <c r="J132" s="8"/>
      <c r="K132" s="8" t="str">
        <f t="shared" si="6"/>
        <v/>
      </c>
      <c r="L132" s="8" t="s">
        <v>228</v>
      </c>
      <c r="M132" s="8" t="s">
        <v>234</v>
      </c>
      <c r="N132" s="8" t="str">
        <f t="shared" si="7"/>
        <v>N</v>
      </c>
      <c r="O132" s="5" t="s">
        <v>710</v>
      </c>
      <c r="P132" s="5"/>
    </row>
    <row r="133" spans="1:16" ht="46" customHeight="1">
      <c r="A133" s="5" t="s">
        <v>711</v>
      </c>
      <c r="B133" s="5" t="s">
        <v>712</v>
      </c>
      <c r="C133" s="5" t="s">
        <v>27</v>
      </c>
      <c r="D133" s="5" t="s">
        <v>91</v>
      </c>
      <c r="E133" s="5" t="s">
        <v>29</v>
      </c>
      <c r="F133" s="6"/>
      <c r="G133" s="7"/>
      <c r="H133" s="5"/>
      <c r="I133" s="8"/>
      <c r="J133" s="8"/>
      <c r="K133" s="8" t="str">
        <f t="shared" si="6"/>
        <v/>
      </c>
      <c r="L133" s="8" t="s">
        <v>228</v>
      </c>
      <c r="M133" s="8" t="s">
        <v>713</v>
      </c>
      <c r="N133" s="8" t="str">
        <f t="shared" si="7"/>
        <v>N</v>
      </c>
      <c r="O133" s="5" t="s">
        <v>714</v>
      </c>
      <c r="P133" s="5"/>
    </row>
    <row r="134" spans="1:16" ht="46" customHeight="1">
      <c r="A134" s="5" t="s">
        <v>715</v>
      </c>
      <c r="B134" s="5" t="s">
        <v>263</v>
      </c>
      <c r="C134" s="5" t="s">
        <v>263</v>
      </c>
      <c r="D134" s="5" t="s">
        <v>716</v>
      </c>
      <c r="E134" s="5" t="s">
        <v>29</v>
      </c>
      <c r="F134" s="6">
        <v>71</v>
      </c>
      <c r="G134" s="7"/>
      <c r="H134" s="5"/>
      <c r="I134" s="8"/>
      <c r="J134" s="8"/>
      <c r="K134" s="8" t="str">
        <f t="shared" ref="K134:K158" si="8">IF(G134="","",IF(G134&gt;=$E$4,"Y","N"))</f>
        <v/>
      </c>
      <c r="L134" s="8" t="s">
        <v>228</v>
      </c>
      <c r="M134" s="8" t="s">
        <v>717</v>
      </c>
      <c r="N134" s="8" t="str">
        <f t="shared" ref="N134:N165" si="9">IF(AND(K134="Y",L134="Y",M134=""),"Y","N")</f>
        <v>N</v>
      </c>
      <c r="O134" s="5"/>
      <c r="P134" s="5"/>
    </row>
    <row r="135" spans="1:16" ht="46" customHeight="1">
      <c r="A135" s="5" t="s">
        <v>718</v>
      </c>
      <c r="B135" s="5" t="s">
        <v>295</v>
      </c>
      <c r="C135" s="5" t="s">
        <v>27</v>
      </c>
      <c r="D135" s="5" t="s">
        <v>719</v>
      </c>
      <c r="E135" s="5" t="s">
        <v>306</v>
      </c>
      <c r="F135" s="6"/>
      <c r="G135" s="7"/>
      <c r="H135" s="5"/>
      <c r="I135" s="8"/>
      <c r="J135" s="8"/>
      <c r="K135" s="8" t="str">
        <f t="shared" si="8"/>
        <v/>
      </c>
      <c r="L135" s="8" t="s">
        <v>228</v>
      </c>
      <c r="M135" s="8" t="s">
        <v>249</v>
      </c>
      <c r="N135" s="8" t="str">
        <f t="shared" si="9"/>
        <v>N</v>
      </c>
      <c r="O135" s="5" t="s">
        <v>720</v>
      </c>
      <c r="P135" s="5"/>
    </row>
    <row r="136" spans="1:16" ht="46" customHeight="1">
      <c r="A136" s="5" t="s">
        <v>721</v>
      </c>
      <c r="B136" s="5" t="s">
        <v>252</v>
      </c>
      <c r="C136" s="5" t="s">
        <v>27</v>
      </c>
      <c r="D136" s="5" t="s">
        <v>722</v>
      </c>
      <c r="E136" s="5" t="s">
        <v>29</v>
      </c>
      <c r="F136" s="6"/>
      <c r="G136" s="7"/>
      <c r="H136" s="5"/>
      <c r="I136" s="8"/>
      <c r="J136" s="8"/>
      <c r="K136" s="8" t="str">
        <f t="shared" si="8"/>
        <v/>
      </c>
      <c r="L136" s="8" t="s">
        <v>228</v>
      </c>
      <c r="M136" s="8" t="s">
        <v>229</v>
      </c>
      <c r="N136" s="8" t="str">
        <f t="shared" si="9"/>
        <v>N</v>
      </c>
      <c r="O136" s="5" t="s">
        <v>723</v>
      </c>
      <c r="P136" s="5"/>
    </row>
    <row r="137" spans="1:16" ht="46" customHeight="1">
      <c r="A137" s="5" t="s">
        <v>724</v>
      </c>
      <c r="B137" s="5" t="s">
        <v>725</v>
      </c>
      <c r="C137" s="5" t="s">
        <v>27</v>
      </c>
      <c r="D137" s="5" t="s">
        <v>46</v>
      </c>
      <c r="E137" s="5" t="s">
        <v>29</v>
      </c>
      <c r="F137" s="6">
        <v>91</v>
      </c>
      <c r="G137" s="7"/>
      <c r="H137" s="5"/>
      <c r="I137" s="8"/>
      <c r="J137" s="8"/>
      <c r="K137" s="8" t="str">
        <f t="shared" si="8"/>
        <v/>
      </c>
      <c r="L137" s="8" t="s">
        <v>228</v>
      </c>
      <c r="M137" s="8" t="s">
        <v>726</v>
      </c>
      <c r="N137" s="8" t="str">
        <f t="shared" si="9"/>
        <v>N</v>
      </c>
      <c r="O137" s="5" t="s">
        <v>727</v>
      </c>
      <c r="P137" s="5"/>
    </row>
    <row r="138" spans="1:16" ht="46" customHeight="1">
      <c r="A138" s="5" t="s">
        <v>728</v>
      </c>
      <c r="B138" s="5" t="s">
        <v>685</v>
      </c>
      <c r="C138" s="5" t="s">
        <v>27</v>
      </c>
      <c r="D138" s="5" t="s">
        <v>46</v>
      </c>
      <c r="E138" s="5" t="s">
        <v>29</v>
      </c>
      <c r="F138" s="6"/>
      <c r="G138" s="7"/>
      <c r="H138" s="5"/>
      <c r="I138" s="8"/>
      <c r="J138" s="8"/>
      <c r="K138" s="8" t="str">
        <f t="shared" si="8"/>
        <v/>
      </c>
      <c r="L138" s="8" t="s">
        <v>228</v>
      </c>
      <c r="M138" s="8" t="s">
        <v>292</v>
      </c>
      <c r="N138" s="8" t="str">
        <f t="shared" si="9"/>
        <v>N</v>
      </c>
      <c r="O138" s="5" t="s">
        <v>729</v>
      </c>
      <c r="P138" s="5"/>
    </row>
    <row r="139" spans="1:16" ht="46" customHeight="1">
      <c r="A139" s="5" t="s">
        <v>730</v>
      </c>
      <c r="B139" s="5" t="s">
        <v>731</v>
      </c>
      <c r="C139" s="5" t="s">
        <v>27</v>
      </c>
      <c r="D139" s="5" t="s">
        <v>46</v>
      </c>
      <c r="E139" s="5" t="s">
        <v>29</v>
      </c>
      <c r="F139" s="6">
        <v>100</v>
      </c>
      <c r="G139" s="7"/>
      <c r="H139" s="5"/>
      <c r="I139" s="8"/>
      <c r="J139" s="8"/>
      <c r="K139" s="8" t="str">
        <f t="shared" si="8"/>
        <v/>
      </c>
      <c r="L139" s="8" t="s">
        <v>228</v>
      </c>
      <c r="M139" s="8" t="s">
        <v>732</v>
      </c>
      <c r="N139" s="8" t="str">
        <f t="shared" si="9"/>
        <v>N</v>
      </c>
      <c r="O139" s="5" t="s">
        <v>733</v>
      </c>
      <c r="P139" s="5"/>
    </row>
    <row r="140" spans="1:16" ht="46" customHeight="1">
      <c r="A140" s="5" t="s">
        <v>734</v>
      </c>
      <c r="B140" s="5" t="s">
        <v>735</v>
      </c>
      <c r="C140" s="5" t="s">
        <v>27</v>
      </c>
      <c r="D140" s="5" t="s">
        <v>46</v>
      </c>
      <c r="E140" s="5" t="s">
        <v>29</v>
      </c>
      <c r="F140" s="6"/>
      <c r="G140" s="7"/>
      <c r="H140" s="5"/>
      <c r="I140" s="8"/>
      <c r="J140" s="8"/>
      <c r="K140" s="8" t="str">
        <f t="shared" si="8"/>
        <v/>
      </c>
      <c r="L140" s="8" t="s">
        <v>228</v>
      </c>
      <c r="M140" s="8" t="s">
        <v>736</v>
      </c>
      <c r="N140" s="8" t="str">
        <f t="shared" si="9"/>
        <v>N</v>
      </c>
      <c r="O140" s="5" t="s">
        <v>737</v>
      </c>
      <c r="P140" s="5"/>
    </row>
    <row r="141" spans="1:16" ht="46" customHeight="1">
      <c r="A141" s="5" t="s">
        <v>738</v>
      </c>
      <c r="B141" s="5" t="s">
        <v>685</v>
      </c>
      <c r="C141" s="5" t="s">
        <v>27</v>
      </c>
      <c r="D141" s="5" t="s">
        <v>739</v>
      </c>
      <c r="E141" s="5" t="s">
        <v>29</v>
      </c>
      <c r="F141" s="6"/>
      <c r="G141" s="7"/>
      <c r="H141" s="5"/>
      <c r="I141" s="8"/>
      <c r="J141" s="8"/>
      <c r="K141" s="8" t="str">
        <f t="shared" si="8"/>
        <v/>
      </c>
      <c r="L141" s="8" t="s">
        <v>228</v>
      </c>
      <c r="M141" s="8" t="s">
        <v>292</v>
      </c>
      <c r="N141" s="8" t="str">
        <f t="shared" si="9"/>
        <v>N</v>
      </c>
      <c r="O141" s="5"/>
      <c r="P141" s="5"/>
    </row>
    <row r="142" spans="1:16" ht="46" customHeight="1">
      <c r="A142" s="5" t="s">
        <v>740</v>
      </c>
      <c r="B142" s="5" t="s">
        <v>741</v>
      </c>
      <c r="C142" s="5" t="s">
        <v>66</v>
      </c>
      <c r="D142" s="5" t="s">
        <v>742</v>
      </c>
      <c r="E142" s="5" t="s">
        <v>29</v>
      </c>
      <c r="F142" s="6"/>
      <c r="G142" s="7">
        <v>10067530</v>
      </c>
      <c r="H142" s="5" t="s">
        <v>47</v>
      </c>
      <c r="I142" s="8">
        <v>2024</v>
      </c>
      <c r="J142" s="8" t="s">
        <v>48</v>
      </c>
      <c r="K142" s="8" t="str">
        <f t="shared" si="8"/>
        <v>N</v>
      </c>
      <c r="L142" s="8" t="s">
        <v>33</v>
      </c>
      <c r="M142" s="8" t="s">
        <v>743</v>
      </c>
      <c r="N142" s="8" t="str">
        <f t="shared" si="9"/>
        <v>N</v>
      </c>
      <c r="O142" s="5" t="s">
        <v>744</v>
      </c>
      <c r="P142" s="5" t="s">
        <v>745</v>
      </c>
    </row>
    <row r="143" spans="1:16" ht="46" customHeight="1">
      <c r="A143" s="5" t="s">
        <v>746</v>
      </c>
      <c r="B143" s="5" t="s">
        <v>263</v>
      </c>
      <c r="C143" s="5" t="s">
        <v>263</v>
      </c>
      <c r="D143" s="5" t="s">
        <v>747</v>
      </c>
      <c r="E143" s="5" t="s">
        <v>29</v>
      </c>
      <c r="F143" s="6"/>
      <c r="G143" s="7"/>
      <c r="H143" s="5"/>
      <c r="I143" s="8"/>
      <c r="J143" s="8"/>
      <c r="K143" s="8" t="str">
        <f t="shared" si="8"/>
        <v/>
      </c>
      <c r="L143" s="8" t="s">
        <v>228</v>
      </c>
      <c r="M143" s="8" t="s">
        <v>409</v>
      </c>
      <c r="N143" s="8" t="str">
        <f t="shared" si="9"/>
        <v>N</v>
      </c>
      <c r="O143" s="5"/>
      <c r="P143" s="5"/>
    </row>
    <row r="144" spans="1:16" ht="46" customHeight="1">
      <c r="A144" s="5" t="s">
        <v>748</v>
      </c>
      <c r="B144" s="5" t="s">
        <v>512</v>
      </c>
      <c r="C144" s="5" t="s">
        <v>27</v>
      </c>
      <c r="D144" s="5" t="s">
        <v>749</v>
      </c>
      <c r="E144" s="5" t="s">
        <v>111</v>
      </c>
      <c r="F144" s="6"/>
      <c r="G144" s="7"/>
      <c r="H144" s="5"/>
      <c r="I144" s="8"/>
      <c r="J144" s="8"/>
      <c r="K144" s="8" t="str">
        <f t="shared" si="8"/>
        <v/>
      </c>
      <c r="L144" s="8" t="s">
        <v>228</v>
      </c>
      <c r="M144" s="8" t="s">
        <v>234</v>
      </c>
      <c r="N144" s="8" t="str">
        <f t="shared" si="9"/>
        <v>N</v>
      </c>
      <c r="O144" s="5" t="s">
        <v>750</v>
      </c>
      <c r="P144" s="5"/>
    </row>
    <row r="145" spans="1:16" ht="46" customHeight="1">
      <c r="A145" s="5" t="s">
        <v>751</v>
      </c>
      <c r="B145" s="5" t="s">
        <v>252</v>
      </c>
      <c r="C145" s="5" t="s">
        <v>27</v>
      </c>
      <c r="D145" s="5" t="s">
        <v>752</v>
      </c>
      <c r="E145" s="5" t="s">
        <v>29</v>
      </c>
      <c r="F145" s="6"/>
      <c r="G145" s="7"/>
      <c r="H145" s="5"/>
      <c r="I145" s="8"/>
      <c r="J145" s="8"/>
      <c r="K145" s="8" t="str">
        <f t="shared" si="8"/>
        <v/>
      </c>
      <c r="L145" s="8" t="s">
        <v>228</v>
      </c>
      <c r="M145" s="8" t="s">
        <v>229</v>
      </c>
      <c r="N145" s="8" t="str">
        <f t="shared" si="9"/>
        <v>N</v>
      </c>
      <c r="O145" s="5" t="s">
        <v>753</v>
      </c>
      <c r="P145" s="5"/>
    </row>
    <row r="146" spans="1:16" ht="46" customHeight="1">
      <c r="A146" s="5" t="s">
        <v>754</v>
      </c>
      <c r="B146" s="5" t="s">
        <v>755</v>
      </c>
      <c r="C146" s="5" t="s">
        <v>38</v>
      </c>
      <c r="D146" s="5" t="s">
        <v>592</v>
      </c>
      <c r="E146" s="5" t="s">
        <v>29</v>
      </c>
      <c r="F146" s="6">
        <v>61</v>
      </c>
      <c r="G146" s="7">
        <v>9040865</v>
      </c>
      <c r="H146" s="5" t="s">
        <v>47</v>
      </c>
      <c r="I146" s="8">
        <v>2025</v>
      </c>
      <c r="J146" s="8" t="s">
        <v>48</v>
      </c>
      <c r="K146" s="8" t="str">
        <f t="shared" si="8"/>
        <v>N</v>
      </c>
      <c r="L146" s="8" t="s">
        <v>33</v>
      </c>
      <c r="M146" s="8" t="s">
        <v>756</v>
      </c>
      <c r="N146" s="8" t="str">
        <f t="shared" si="9"/>
        <v>N</v>
      </c>
      <c r="O146" s="5" t="s">
        <v>757</v>
      </c>
      <c r="P146" s="5" t="s">
        <v>758</v>
      </c>
    </row>
    <row r="147" spans="1:16" ht="46" customHeight="1">
      <c r="A147" s="5" t="s">
        <v>759</v>
      </c>
      <c r="B147" s="5" t="s">
        <v>252</v>
      </c>
      <c r="C147" s="5" t="s">
        <v>27</v>
      </c>
      <c r="D147" s="5" t="s">
        <v>760</v>
      </c>
      <c r="E147" s="5" t="s">
        <v>29</v>
      </c>
      <c r="F147" s="6"/>
      <c r="G147" s="7"/>
      <c r="H147" s="5"/>
      <c r="I147" s="8"/>
      <c r="J147" s="8"/>
      <c r="K147" s="8" t="str">
        <f t="shared" si="8"/>
        <v/>
      </c>
      <c r="L147" s="8" t="s">
        <v>228</v>
      </c>
      <c r="M147" s="8" t="s">
        <v>229</v>
      </c>
      <c r="N147" s="8" t="str">
        <f t="shared" si="9"/>
        <v>N</v>
      </c>
      <c r="O147" s="5" t="s">
        <v>761</v>
      </c>
      <c r="P147" s="5"/>
    </row>
    <row r="148" spans="1:16" ht="46" customHeight="1">
      <c r="A148" s="5" t="s">
        <v>762</v>
      </c>
      <c r="B148" s="5" t="s">
        <v>763</v>
      </c>
      <c r="C148" s="5" t="s">
        <v>27</v>
      </c>
      <c r="D148" s="5" t="s">
        <v>764</v>
      </c>
      <c r="E148" s="5" t="s">
        <v>29</v>
      </c>
      <c r="F148" s="6">
        <v>81</v>
      </c>
      <c r="G148" s="7"/>
      <c r="H148" s="5"/>
      <c r="I148" s="8"/>
      <c r="J148" s="8"/>
      <c r="K148" s="8" t="str">
        <f t="shared" si="8"/>
        <v/>
      </c>
      <c r="L148" s="8" t="s">
        <v>228</v>
      </c>
      <c r="M148" s="8" t="s">
        <v>275</v>
      </c>
      <c r="N148" s="8" t="str">
        <f t="shared" si="9"/>
        <v>N</v>
      </c>
      <c r="O148" s="5" t="s">
        <v>765</v>
      </c>
      <c r="P148" s="5"/>
    </row>
    <row r="149" spans="1:16" ht="46" customHeight="1">
      <c r="A149" s="5" t="s">
        <v>766</v>
      </c>
      <c r="B149" s="5" t="s">
        <v>252</v>
      </c>
      <c r="C149" s="5" t="s">
        <v>27</v>
      </c>
      <c r="D149" s="5" t="s">
        <v>767</v>
      </c>
      <c r="E149" s="5" t="s">
        <v>29</v>
      </c>
      <c r="F149" s="6"/>
      <c r="G149" s="7"/>
      <c r="H149" s="5"/>
      <c r="I149" s="8"/>
      <c r="J149" s="8"/>
      <c r="K149" s="8" t="str">
        <f t="shared" si="8"/>
        <v/>
      </c>
      <c r="L149" s="8" t="s">
        <v>228</v>
      </c>
      <c r="M149" s="8" t="s">
        <v>229</v>
      </c>
      <c r="N149" s="8" t="str">
        <f t="shared" si="9"/>
        <v>N</v>
      </c>
      <c r="O149" s="5" t="s">
        <v>768</v>
      </c>
      <c r="P149" s="5"/>
    </row>
    <row r="150" spans="1:16" ht="46" customHeight="1">
      <c r="A150" s="5" t="s">
        <v>769</v>
      </c>
      <c r="B150" s="5" t="s">
        <v>770</v>
      </c>
      <c r="C150" s="5" t="s">
        <v>771</v>
      </c>
      <c r="D150" s="5" t="s">
        <v>772</v>
      </c>
      <c r="E150" s="5" t="s">
        <v>641</v>
      </c>
      <c r="F150" s="6">
        <v>97</v>
      </c>
      <c r="G150" s="7"/>
      <c r="H150" s="5"/>
      <c r="I150" s="8"/>
      <c r="J150" s="8"/>
      <c r="K150" s="8" t="str">
        <f t="shared" si="8"/>
        <v/>
      </c>
      <c r="L150" s="8" t="s">
        <v>228</v>
      </c>
      <c r="M150" s="8" t="s">
        <v>773</v>
      </c>
      <c r="N150" s="8" t="str">
        <f t="shared" si="9"/>
        <v>N</v>
      </c>
      <c r="O150" s="5" t="s">
        <v>774</v>
      </c>
      <c r="P150" s="5"/>
    </row>
    <row r="151" spans="1:16" ht="46" customHeight="1">
      <c r="A151" s="5" t="s">
        <v>775</v>
      </c>
      <c r="B151" s="5" t="s">
        <v>776</v>
      </c>
      <c r="C151" s="5" t="s">
        <v>66</v>
      </c>
      <c r="D151" s="5" t="s">
        <v>777</v>
      </c>
      <c r="E151" s="5" t="s">
        <v>29</v>
      </c>
      <c r="F151" s="6"/>
      <c r="G151" s="7">
        <v>6874932</v>
      </c>
      <c r="H151" s="5" t="s">
        <v>778</v>
      </c>
      <c r="I151" s="8">
        <v>2025</v>
      </c>
      <c r="J151" s="8" t="s">
        <v>48</v>
      </c>
      <c r="K151" s="8" t="str">
        <f t="shared" si="8"/>
        <v>N</v>
      </c>
      <c r="L151" s="8" t="s">
        <v>33</v>
      </c>
      <c r="M151" s="8" t="s">
        <v>779</v>
      </c>
      <c r="N151" s="8" t="str">
        <f t="shared" si="9"/>
        <v>N</v>
      </c>
      <c r="O151" s="5" t="s">
        <v>780</v>
      </c>
      <c r="P151" s="5" t="s">
        <v>781</v>
      </c>
    </row>
    <row r="152" spans="1:16" ht="46" customHeight="1">
      <c r="A152" s="5" t="s">
        <v>782</v>
      </c>
      <c r="B152" s="5" t="s">
        <v>252</v>
      </c>
      <c r="C152" s="5" t="s">
        <v>27</v>
      </c>
      <c r="D152" s="5" t="s">
        <v>783</v>
      </c>
      <c r="E152" s="5" t="s">
        <v>111</v>
      </c>
      <c r="F152" s="6">
        <v>97</v>
      </c>
      <c r="G152" s="7"/>
      <c r="H152" s="5"/>
      <c r="I152" s="8"/>
      <c r="J152" s="8"/>
      <c r="K152" s="8" t="str">
        <f t="shared" si="8"/>
        <v/>
      </c>
      <c r="L152" s="8" t="s">
        <v>228</v>
      </c>
      <c r="M152" s="8" t="s">
        <v>229</v>
      </c>
      <c r="N152" s="8" t="str">
        <f t="shared" si="9"/>
        <v>N</v>
      </c>
      <c r="O152" s="5" t="s">
        <v>784</v>
      </c>
      <c r="P152" s="5"/>
    </row>
    <row r="153" spans="1:16" ht="46" customHeight="1">
      <c r="A153" s="5" t="s">
        <v>785</v>
      </c>
      <c r="B153" s="5" t="s">
        <v>786</v>
      </c>
      <c r="C153" s="5" t="s">
        <v>27</v>
      </c>
      <c r="D153" s="5" t="s">
        <v>601</v>
      </c>
      <c r="E153" s="5" t="s">
        <v>111</v>
      </c>
      <c r="F153" s="6">
        <v>66</v>
      </c>
      <c r="G153" s="7"/>
      <c r="H153" s="5"/>
      <c r="I153" s="8"/>
      <c r="J153" s="8"/>
      <c r="K153" s="8" t="str">
        <f t="shared" si="8"/>
        <v/>
      </c>
      <c r="L153" s="8" t="s">
        <v>228</v>
      </c>
      <c r="M153" s="8" t="s">
        <v>787</v>
      </c>
      <c r="N153" s="8" t="str">
        <f t="shared" si="9"/>
        <v>N</v>
      </c>
      <c r="O153" s="5" t="s">
        <v>788</v>
      </c>
      <c r="P153" s="5"/>
    </row>
    <row r="154" spans="1:16" ht="46" customHeight="1">
      <c r="A154" s="5" t="s">
        <v>789</v>
      </c>
      <c r="B154" s="5" t="s">
        <v>790</v>
      </c>
      <c r="C154" s="5" t="s">
        <v>27</v>
      </c>
      <c r="D154" s="5" t="s">
        <v>749</v>
      </c>
      <c r="E154" s="5" t="s">
        <v>29</v>
      </c>
      <c r="F154" s="6"/>
      <c r="G154" s="7"/>
      <c r="H154" s="5"/>
      <c r="I154" s="8"/>
      <c r="J154" s="8"/>
      <c r="K154" s="8" t="str">
        <f t="shared" si="8"/>
        <v/>
      </c>
      <c r="L154" s="8" t="s">
        <v>228</v>
      </c>
      <c r="M154" s="8" t="s">
        <v>371</v>
      </c>
      <c r="N154" s="8" t="str">
        <f t="shared" si="9"/>
        <v>N</v>
      </c>
      <c r="O154" s="5" t="s">
        <v>791</v>
      </c>
      <c r="P154" s="5"/>
    </row>
    <row r="155" spans="1:16" ht="46" customHeight="1">
      <c r="A155" s="5" t="s">
        <v>792</v>
      </c>
      <c r="B155" s="5" t="s">
        <v>252</v>
      </c>
      <c r="C155" s="5" t="s">
        <v>27</v>
      </c>
      <c r="D155" s="5" t="s">
        <v>793</v>
      </c>
      <c r="E155" s="5" t="s">
        <v>29</v>
      </c>
      <c r="F155" s="6">
        <v>91</v>
      </c>
      <c r="G155" s="7"/>
      <c r="H155" s="5"/>
      <c r="I155" s="8"/>
      <c r="J155" s="8"/>
      <c r="K155" s="8" t="str">
        <f t="shared" si="8"/>
        <v/>
      </c>
      <c r="L155" s="8" t="s">
        <v>228</v>
      </c>
      <c r="M155" s="8" t="s">
        <v>229</v>
      </c>
      <c r="N155" s="8" t="str">
        <f t="shared" si="9"/>
        <v>N</v>
      </c>
      <c r="O155" s="5" t="s">
        <v>794</v>
      </c>
      <c r="P155" s="5"/>
    </row>
    <row r="156" spans="1:16" ht="46" customHeight="1">
      <c r="A156" s="5" t="s">
        <v>795</v>
      </c>
      <c r="B156" s="5" t="s">
        <v>252</v>
      </c>
      <c r="C156" s="5" t="s">
        <v>27</v>
      </c>
      <c r="D156" s="5" t="s">
        <v>796</v>
      </c>
      <c r="E156" s="5" t="s">
        <v>29</v>
      </c>
      <c r="F156" s="6"/>
      <c r="G156" s="7"/>
      <c r="H156" s="5"/>
      <c r="I156" s="8"/>
      <c r="J156" s="8"/>
      <c r="K156" s="8" t="str">
        <f t="shared" si="8"/>
        <v/>
      </c>
      <c r="L156" s="8" t="s">
        <v>228</v>
      </c>
      <c r="M156" s="8" t="s">
        <v>229</v>
      </c>
      <c r="N156" s="8" t="str">
        <f t="shared" si="9"/>
        <v>N</v>
      </c>
      <c r="O156" s="5" t="s">
        <v>797</v>
      </c>
      <c r="P156" s="5"/>
    </row>
    <row r="157" spans="1:16" ht="46" customHeight="1">
      <c r="A157" s="5" t="s">
        <v>798</v>
      </c>
      <c r="B157" s="5" t="s">
        <v>226</v>
      </c>
      <c r="C157" s="5" t="s">
        <v>27</v>
      </c>
      <c r="D157" s="5" t="s">
        <v>195</v>
      </c>
      <c r="E157" s="5" t="s">
        <v>29</v>
      </c>
      <c r="F157" s="6"/>
      <c r="G157" s="7"/>
      <c r="H157" s="5"/>
      <c r="I157" s="8"/>
      <c r="J157" s="8"/>
      <c r="K157" s="8" t="str">
        <f t="shared" si="8"/>
        <v/>
      </c>
      <c r="L157" s="8" t="s">
        <v>228</v>
      </c>
      <c r="M157" s="8" t="s">
        <v>229</v>
      </c>
      <c r="N157" s="8" t="str">
        <f t="shared" si="9"/>
        <v>N</v>
      </c>
      <c r="O157" s="5" t="s">
        <v>799</v>
      </c>
      <c r="P157" s="5"/>
    </row>
    <row r="158" spans="1:16" ht="46" customHeight="1">
      <c r="A158" s="5" t="s">
        <v>800</v>
      </c>
      <c r="B158" s="5" t="s">
        <v>185</v>
      </c>
      <c r="C158" s="5" t="s">
        <v>66</v>
      </c>
      <c r="D158" s="5" t="s">
        <v>801</v>
      </c>
      <c r="E158" s="5" t="s">
        <v>802</v>
      </c>
      <c r="F158" s="6">
        <v>83</v>
      </c>
      <c r="G158" s="7"/>
      <c r="H158" s="5"/>
      <c r="I158" s="8"/>
      <c r="J158" s="8"/>
      <c r="K158" s="8" t="str">
        <f t="shared" si="8"/>
        <v/>
      </c>
      <c r="L158" s="8" t="s">
        <v>33</v>
      </c>
      <c r="M158" s="8" t="s">
        <v>803</v>
      </c>
      <c r="N158" s="8" t="str">
        <f t="shared" si="9"/>
        <v>N</v>
      </c>
      <c r="O158" s="5" t="s">
        <v>804</v>
      </c>
      <c r="P158" s="5"/>
    </row>
  </sheetData>
  <mergeCells count="3">
    <mergeCell ref="A1:P1"/>
    <mergeCell ref="A2:P2"/>
    <mergeCell ref="A3:P3"/>
  </mergeCells>
  <conditionalFormatting sqref="A6:P158">
    <cfRule type="expression" dxfId="4" priority="1">
      <formula>MOD(ROW(),2)=0</formula>
    </cfRule>
  </conditionalFormatting>
  <conditionalFormatting sqref="K6:K158">
    <cfRule type="expression" dxfId="3" priority="2">
      <formula>K6="Y"</formula>
    </cfRule>
    <cfRule type="expression" dxfId="2" priority="3">
      <formula>K6="N"</formula>
    </cfRule>
  </conditionalFormatting>
  <conditionalFormatting sqref="N6:N158">
    <cfRule type="expression" dxfId="1" priority="4">
      <formula>N6="Y"</formula>
    </cfRule>
    <cfRule type="expression" dxfId="0" priority="5">
      <formula>N6="N"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Outreach Targets</vt:lpstr>
      <vt:lpstr>Excluded 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 Peduto</cp:lastModifiedBy>
  <dcterms:created xsi:type="dcterms:W3CDTF">2026-08-05T19:13:22Z</dcterms:created>
  <dcterms:modified xsi:type="dcterms:W3CDTF">2026-08-05T19:13:22Z</dcterms:modified>
</cp:coreProperties>
</file>